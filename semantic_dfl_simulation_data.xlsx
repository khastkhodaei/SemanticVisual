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 پیکربندی شبکه" sheetId="1" state="visible" r:id="rId1"/>
    <sheet xmlns:r="http://schemas.openxmlformats.org/officeDocument/2006/relationships" name="مشخصات گره‌ها" sheetId="2" state="visible" r:id="rId2"/>
    <sheet xmlns:r="http://schemas.openxmlformats.org/officeDocument/2006/relationships" name="رأی‌گیری VRF و انتشار پیام‌ه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4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2F5496"/>
        <bgColor rgb="002F5496"/>
      </patternFill>
    </fill>
    <fill>
      <patternFill patternType="solid">
        <fgColor rgb="00DCE6F1"/>
        <bgColor rgb="00DCE6F1"/>
      </patternFill>
    </fill>
    <fill>
      <patternFill patternType="solid">
        <fgColor rgb="00F2F4F8"/>
        <bgColor rgb="00F2F4F8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E78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4" fillId="5" borderId="0" applyAlignment="1" pivotButton="0" quotePrefix="0" xfId="0">
      <alignment horizontal="center" vertical="center"/>
    </xf>
    <xf numFmtId="0" fontId="5" fillId="5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164" fontId="5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pivotButton="0" quotePrefix="0" xfId="0"/>
    <xf numFmtId="164" fontId="5" fillId="6" borderId="1" applyAlignment="1" pivotButton="0" quotePrefix="0" xfId="0">
      <alignment horizontal="center" vertical="center"/>
    </xf>
    <xf numFmtId="0" fontId="4" fillId="0" borderId="2" pivotButton="0" quotePrefix="0" xfId="0"/>
    <xf numFmtId="0" fontId="0" fillId="0" borderId="2" pivotButton="0" quotePrefix="0" xfId="0"/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5" fontId="4" fillId="0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15" customWidth="1" min="4" max="4"/>
    <col width="15" customWidth="1" min="5" max="5"/>
    <col width="45" customWidth="1" min="6" max="6"/>
  </cols>
  <sheetData>
    <row r="1" ht="35" customHeight="1">
      <c r="A1" s="1" t="inlineStr">
        <is>
          <t>SemanticDFL - پیکربندی شبکه فیزیکی و توزیع داده‌ها (۵۰ کلاینت)</t>
        </is>
      </c>
    </row>
    <row r="3" ht="24" customHeight="1">
      <c r="A3" s="2" t="inlineStr">
        <is>
          <t>خلاصه پارامترهای اصلی شبکه (KPIs)</t>
        </is>
      </c>
    </row>
    <row r="4" ht="20" customHeight="1">
      <c r="A4" s="3" t="inlineStr">
        <is>
          <t>پارامتر</t>
        </is>
      </c>
      <c r="B4" s="3" t="inlineStr">
        <is>
          <t>مقدار</t>
        </is>
      </c>
      <c r="C4" s="3" t="inlineStr">
        <is>
          <t>واحد / توضیح</t>
        </is>
      </c>
    </row>
    <row r="5">
      <c r="A5" s="4" t="inlineStr">
        <is>
          <t>تعداد کل گره‌های شبکه (N)</t>
        </is>
      </c>
      <c r="B5" s="5" t="n">
        <v>50</v>
      </c>
      <c r="C5" s="6" t="inlineStr">
        <is>
          <t>کلاینت</t>
        </is>
      </c>
    </row>
    <row r="6">
      <c r="A6" s="7" t="inlineStr">
        <is>
          <t>میانگین درجه اتصالات فیزیکی</t>
        </is>
      </c>
      <c r="B6" s="8" t="n">
        <v>3.6</v>
      </c>
      <c r="C6" s="9" t="inlineStr">
        <is>
          <t>لینک به ازای هر گره</t>
        </is>
      </c>
    </row>
    <row r="7">
      <c r="A7" s="4" t="inlineStr">
        <is>
          <t>مجموع اتصالات فیزیکی (Edges)</t>
        </is>
      </c>
      <c r="B7" s="5" t="n">
        <v>90</v>
      </c>
      <c r="C7" s="6" t="inlineStr">
        <is>
          <t>لینک دوطرفه</t>
        </is>
      </c>
    </row>
    <row r="8">
      <c r="A8" s="7" t="inlineStr">
        <is>
          <t>تعداد کلاس‌های داده (CIFAR-10)</t>
        </is>
      </c>
      <c r="B8" s="8" t="n">
        <v>10</v>
      </c>
      <c r="C8" s="9" t="inlineStr">
        <is>
          <t>کلاس مجزا</t>
        </is>
      </c>
    </row>
    <row r="9">
      <c r="A9" s="4" t="inlineStr">
        <is>
          <t>حداقل گره‌ها در یک کلاس</t>
        </is>
      </c>
      <c r="B9" s="5" t="n">
        <v>3</v>
      </c>
      <c r="C9" s="6" t="inlineStr">
        <is>
          <t>گره</t>
        </is>
      </c>
    </row>
    <row r="10">
      <c r="A10" s="7" t="inlineStr">
        <is>
          <t>حداکثر گره‌ها در یک کلاس</t>
        </is>
      </c>
      <c r="B10" s="8" t="n">
        <v>7</v>
      </c>
      <c r="C10" s="9" t="inlineStr">
        <is>
          <t>گره</t>
        </is>
      </c>
    </row>
    <row r="12" ht="24" customHeight="1">
      <c r="A12" s="2" t="inlineStr">
        <is>
          <t>توزیع ۱۰ کلاس CIFAR-10 بین کلاینت‌ها</t>
        </is>
      </c>
    </row>
    <row r="13" ht="22" customHeight="1">
      <c r="A13" s="3" t="inlineStr">
        <is>
          <t>شناسه کلاس</t>
        </is>
      </c>
      <c r="B13" s="3" t="inlineStr">
        <is>
          <t>نام کلاس</t>
        </is>
      </c>
      <c r="C13" s="3" t="inlineStr">
        <is>
          <t>آیکون</t>
        </is>
      </c>
      <c r="D13" s="3" t="inlineStr">
        <is>
          <t>تعداد گره‌ها</t>
        </is>
      </c>
      <c r="E13" s="3" t="inlineStr">
        <is>
          <t>درصد از کل</t>
        </is>
      </c>
      <c r="F13" s="3" t="inlineStr">
        <is>
          <t>فهرست گره‌های عضو</t>
        </is>
      </c>
    </row>
    <row r="14">
      <c r="A14" s="10" t="n">
        <v>0</v>
      </c>
      <c r="B14" s="11" t="inlineStr">
        <is>
          <t>هواپیما (Airplane)</t>
        </is>
      </c>
      <c r="C14" s="10" t="inlineStr">
        <is>
          <t>✈️</t>
        </is>
      </c>
      <c r="D14" s="10">
        <f>COUNTIF('مشخصات گره‌ها'!D:D, 0)</f>
        <v/>
      </c>
      <c r="E14" s="12">
        <f>D14/50</f>
        <v/>
      </c>
      <c r="F14" s="11" t="inlineStr">
        <is>
          <t>C5, C14, C20, C38, C48</t>
        </is>
      </c>
    </row>
    <row r="15">
      <c r="A15" s="13" t="n">
        <v>1</v>
      </c>
      <c r="B15" s="14" t="inlineStr">
        <is>
          <t>اتومبیل (Automobile)</t>
        </is>
      </c>
      <c r="C15" s="13" t="inlineStr">
        <is>
          <t>🚗</t>
        </is>
      </c>
      <c r="D15" s="13">
        <f>COUNTIF('مشخصات گره‌ها'!D:D, 1)</f>
        <v/>
      </c>
      <c r="E15" s="15">
        <f>D15/50</f>
        <v/>
      </c>
      <c r="F15" s="14" t="inlineStr">
        <is>
          <t>C41, C43, C44, C49</t>
        </is>
      </c>
    </row>
    <row r="16">
      <c r="A16" s="10" t="n">
        <v>2</v>
      </c>
      <c r="B16" s="11" t="inlineStr">
        <is>
          <t>پرنده (Bird)</t>
        </is>
      </c>
      <c r="C16" s="10" t="inlineStr">
        <is>
          <t>🐦</t>
        </is>
      </c>
      <c r="D16" s="10">
        <f>COUNTIF('مشخصات گره‌ها'!D:D, 2)</f>
        <v/>
      </c>
      <c r="E16" s="12">
        <f>D16/50</f>
        <v/>
      </c>
      <c r="F16" s="11" t="inlineStr">
        <is>
          <t>C4, C8, C13, C17, C35, C45</t>
        </is>
      </c>
    </row>
    <row r="17">
      <c r="A17" s="13" t="n">
        <v>3</v>
      </c>
      <c r="B17" s="14" t="inlineStr">
        <is>
          <t>گربه (Cat)</t>
        </is>
      </c>
      <c r="C17" s="13" t="inlineStr">
        <is>
          <t>🐱</t>
        </is>
      </c>
      <c r="D17" s="13">
        <f>COUNTIF('مشخصات گره‌ها'!D:D, 3)</f>
        <v/>
      </c>
      <c r="E17" s="15">
        <f>D17/50</f>
        <v/>
      </c>
      <c r="F17" s="14" t="inlineStr">
        <is>
          <t>C3, C10, C22, C46, C47</t>
        </is>
      </c>
    </row>
    <row r="18">
      <c r="A18" s="10" t="n">
        <v>4</v>
      </c>
      <c r="B18" s="11" t="inlineStr">
        <is>
          <t>آهو (Deer)</t>
        </is>
      </c>
      <c r="C18" s="10" t="inlineStr">
        <is>
          <t>🦌</t>
        </is>
      </c>
      <c r="D18" s="10">
        <f>COUNTIF('مشخصات گره‌ها'!D:D, 4)</f>
        <v/>
      </c>
      <c r="E18" s="12">
        <f>D18/50</f>
        <v/>
      </c>
      <c r="F18" s="11" t="inlineStr">
        <is>
          <t>C12, C28, C29</t>
        </is>
      </c>
    </row>
    <row r="19">
      <c r="A19" s="13" t="n">
        <v>5</v>
      </c>
      <c r="B19" s="14" t="inlineStr">
        <is>
          <t>سگ (Dog)</t>
        </is>
      </c>
      <c r="C19" s="13" t="inlineStr">
        <is>
          <t>🐶</t>
        </is>
      </c>
      <c r="D19" s="13">
        <f>COUNTIF('مشخصات گره‌ها'!D:D, 5)</f>
        <v/>
      </c>
      <c r="E19" s="15">
        <f>D19/50</f>
        <v/>
      </c>
      <c r="F19" s="14" t="inlineStr">
        <is>
          <t>C1, C2, C7, C9, C18, C27, C39</t>
        </is>
      </c>
    </row>
    <row r="20">
      <c r="A20" s="10" t="n">
        <v>6</v>
      </c>
      <c r="B20" s="11" t="inlineStr">
        <is>
          <t>قورباغه (Frog)</t>
        </is>
      </c>
      <c r="C20" s="10" t="inlineStr">
        <is>
          <t>🐸</t>
        </is>
      </c>
      <c r="D20" s="10">
        <f>COUNTIF('مشخصات گره‌ها'!D:D, 6)</f>
        <v/>
      </c>
      <c r="E20" s="12">
        <f>D20/50</f>
        <v/>
      </c>
      <c r="F20" s="11" t="inlineStr">
        <is>
          <t>C11, C23, C26, C33, C42</t>
        </is>
      </c>
    </row>
    <row r="21">
      <c r="A21" s="13" t="n">
        <v>7</v>
      </c>
      <c r="B21" s="14" t="inlineStr">
        <is>
          <t>اسب (Horse)</t>
        </is>
      </c>
      <c r="C21" s="13" t="inlineStr">
        <is>
          <t>🐎</t>
        </is>
      </c>
      <c r="D21" s="13">
        <f>COUNTIF('مشخصات گره‌ها'!D:D, 7)</f>
        <v/>
      </c>
      <c r="E21" s="15">
        <f>D21/50</f>
        <v/>
      </c>
      <c r="F21" s="14" t="inlineStr">
        <is>
          <t>C16, C19, C32, C40</t>
        </is>
      </c>
    </row>
    <row r="22">
      <c r="A22" s="10" t="n">
        <v>8</v>
      </c>
      <c r="B22" s="11" t="inlineStr">
        <is>
          <t>کشتی (Ship)</t>
        </is>
      </c>
      <c r="C22" s="10" t="inlineStr">
        <is>
          <t>🚢</t>
        </is>
      </c>
      <c r="D22" s="10">
        <f>COUNTIF('مشخصات گره‌ها'!D:D, 8)</f>
        <v/>
      </c>
      <c r="E22" s="12">
        <f>D22/50</f>
        <v/>
      </c>
      <c r="F22" s="11" t="inlineStr">
        <is>
          <t>C15, C21, C25, C30, C34, C50</t>
        </is>
      </c>
    </row>
    <row r="23">
      <c r="A23" s="13" t="n">
        <v>9</v>
      </c>
      <c r="B23" s="14" t="inlineStr">
        <is>
          <t>کامیون (Truck)</t>
        </is>
      </c>
      <c r="C23" s="13" t="inlineStr">
        <is>
          <t>🚚</t>
        </is>
      </c>
      <c r="D23" s="13">
        <f>COUNTIF('مشخصات گره‌ها'!D:D, 9)</f>
        <v/>
      </c>
      <c r="E23" s="15">
        <f>D23/50</f>
        <v/>
      </c>
      <c r="F23" s="14" t="inlineStr">
        <is>
          <t>C6, C24, C31, C36, C37</t>
        </is>
      </c>
    </row>
    <row r="24">
      <c r="A24" s="16" t="inlineStr">
        <is>
          <t>مجموع</t>
        </is>
      </c>
      <c r="B24" s="17" t="n"/>
      <c r="C24" s="17" t="n"/>
      <c r="D24" s="18">
        <f>SUM(D14:D23)</f>
        <v/>
      </c>
      <c r="E24" s="19">
        <f>SUM(E14:E23)</f>
        <v/>
      </c>
      <c r="F24" s="17" t="n"/>
    </row>
  </sheetData>
  <mergeCells count="3">
    <mergeCell ref="A3:F3"/>
    <mergeCell ref="A1:F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5" customWidth="1" min="3" max="3"/>
    <col width="16" customWidth="1" min="4" max="4"/>
    <col width="28" customWidth="1" min="5" max="5"/>
    <col width="12" customWidth="1" min="6" max="6"/>
  </cols>
  <sheetData>
    <row r="1" ht="35" customHeight="1">
      <c r="A1" s="1" t="inlineStr">
        <is>
          <t>جدول کامل ۵0 کلاینت - اتصالات فیزیکی و انتصاب داده‌ها</t>
        </is>
      </c>
    </row>
    <row r="2" ht="25" customHeight="1">
      <c r="A2" s="3" t="inlineStr">
        <is>
          <t>شناسه گره (Node ID)</t>
        </is>
      </c>
      <c r="B2" s="3" t="inlineStr">
        <is>
          <t>درجه اتصالات (Degree)</t>
        </is>
      </c>
      <c r="C2" s="3" t="inlineStr">
        <is>
          <t>فهرست همسایگان متصل فیزیکی</t>
        </is>
      </c>
      <c r="D2" s="3" t="inlineStr">
        <is>
          <t>کلاس داده (ID)</t>
        </is>
      </c>
      <c r="E2" s="3" t="inlineStr">
        <is>
          <t>عنوان کلاس داده (CIFAR-10)</t>
        </is>
      </c>
      <c r="F2" s="3" t="inlineStr">
        <is>
          <t>آیکون</t>
        </is>
      </c>
    </row>
    <row r="3">
      <c r="A3" s="20" t="inlineStr">
        <is>
          <t>C1</t>
        </is>
      </c>
      <c r="B3" s="13" t="n">
        <v>4</v>
      </c>
      <c r="C3" s="21" t="inlineStr">
        <is>
          <t>C2, C5, C26, C50</t>
        </is>
      </c>
      <c r="D3" s="13" t="n">
        <v>5</v>
      </c>
      <c r="E3" s="21" t="inlineStr">
        <is>
          <t>سگ (Dog)</t>
        </is>
      </c>
      <c r="F3" s="13" t="inlineStr">
        <is>
          <t>🐶</t>
        </is>
      </c>
    </row>
    <row r="4">
      <c r="A4" s="22" t="inlineStr">
        <is>
          <t>C2</t>
        </is>
      </c>
      <c r="B4" s="10" t="n">
        <v>4</v>
      </c>
      <c r="C4" s="23" t="inlineStr">
        <is>
          <t>C1, C3, C4, C48</t>
        </is>
      </c>
      <c r="D4" s="10" t="n">
        <v>5</v>
      </c>
      <c r="E4" s="23" t="inlineStr">
        <is>
          <t>سگ (Dog)</t>
        </is>
      </c>
      <c r="F4" s="10" t="inlineStr">
        <is>
          <t>🐶</t>
        </is>
      </c>
    </row>
    <row r="5">
      <c r="A5" s="20" t="inlineStr">
        <is>
          <t>C3</t>
        </is>
      </c>
      <c r="B5" s="13" t="n">
        <v>3</v>
      </c>
      <c r="C5" s="21" t="inlineStr">
        <is>
          <t>C2, C4, C7</t>
        </is>
      </c>
      <c r="D5" s="13" t="n">
        <v>3</v>
      </c>
      <c r="E5" s="21" t="inlineStr">
        <is>
          <t>گربه (Cat)</t>
        </is>
      </c>
      <c r="F5" s="13" t="inlineStr">
        <is>
          <t>🐱</t>
        </is>
      </c>
    </row>
    <row r="6">
      <c r="A6" s="22" t="inlineStr">
        <is>
          <t>C4</t>
        </is>
      </c>
      <c r="B6" s="10" t="n">
        <v>3</v>
      </c>
      <c r="C6" s="23" t="inlineStr">
        <is>
          <t>C2, C3, C5</t>
        </is>
      </c>
      <c r="D6" s="10" t="n">
        <v>2</v>
      </c>
      <c r="E6" s="23" t="inlineStr">
        <is>
          <t>پرنده (Bird)</t>
        </is>
      </c>
      <c r="F6" s="10" t="inlineStr">
        <is>
          <t>🐦</t>
        </is>
      </c>
    </row>
    <row r="7">
      <c r="A7" s="20" t="inlineStr">
        <is>
          <t>C5</t>
        </is>
      </c>
      <c r="B7" s="13" t="n">
        <v>4</v>
      </c>
      <c r="C7" s="21" t="inlineStr">
        <is>
          <t>C1, C4, C6, C25</t>
        </is>
      </c>
      <c r="D7" s="13" t="n">
        <v>0</v>
      </c>
      <c r="E7" s="21" t="inlineStr">
        <is>
          <t>هواپیما (Airplane)</t>
        </is>
      </c>
      <c r="F7" s="13" t="inlineStr">
        <is>
          <t>✈️</t>
        </is>
      </c>
    </row>
    <row r="8">
      <c r="A8" s="22" t="inlineStr">
        <is>
          <t>C6</t>
        </is>
      </c>
      <c r="B8" s="10" t="n">
        <v>3</v>
      </c>
      <c r="C8" s="23" t="inlineStr">
        <is>
          <t>C5, C7, C10</t>
        </is>
      </c>
      <c r="D8" s="10" t="n">
        <v>9</v>
      </c>
      <c r="E8" s="23" t="inlineStr">
        <is>
          <t>کامیون (Truck)</t>
        </is>
      </c>
      <c r="F8" s="10" t="inlineStr">
        <is>
          <t>🚚</t>
        </is>
      </c>
    </row>
    <row r="9">
      <c r="A9" s="20" t="inlineStr">
        <is>
          <t>C7</t>
        </is>
      </c>
      <c r="B9" s="13" t="n">
        <v>4</v>
      </c>
      <c r="C9" s="21" t="inlineStr">
        <is>
          <t>C3, C6, C8, C9</t>
        </is>
      </c>
      <c r="D9" s="13" t="n">
        <v>5</v>
      </c>
      <c r="E9" s="21" t="inlineStr">
        <is>
          <t>سگ (Dog)</t>
        </is>
      </c>
      <c r="F9" s="13" t="inlineStr">
        <is>
          <t>🐶</t>
        </is>
      </c>
    </row>
    <row r="10">
      <c r="A10" s="22" t="inlineStr">
        <is>
          <t>C8</t>
        </is>
      </c>
      <c r="B10" s="10" t="n">
        <v>3</v>
      </c>
      <c r="C10" s="23" t="inlineStr">
        <is>
          <t>C7, C9, C12</t>
        </is>
      </c>
      <c r="D10" s="10" t="n">
        <v>2</v>
      </c>
      <c r="E10" s="23" t="inlineStr">
        <is>
          <t>پرنده (Bird)</t>
        </is>
      </c>
      <c r="F10" s="10" t="inlineStr">
        <is>
          <t>🐦</t>
        </is>
      </c>
    </row>
    <row r="11">
      <c r="A11" s="20" t="inlineStr">
        <is>
          <t>C9</t>
        </is>
      </c>
      <c r="B11" s="13" t="n">
        <v>3</v>
      </c>
      <c r="C11" s="21" t="inlineStr">
        <is>
          <t>C7, C8, C10</t>
        </is>
      </c>
      <c r="D11" s="13" t="n">
        <v>5</v>
      </c>
      <c r="E11" s="21" t="inlineStr">
        <is>
          <t>سگ (Dog)</t>
        </is>
      </c>
      <c r="F11" s="13" t="inlineStr">
        <is>
          <t>🐶</t>
        </is>
      </c>
    </row>
    <row r="12">
      <c r="A12" s="22" t="inlineStr">
        <is>
          <t>C10</t>
        </is>
      </c>
      <c r="B12" s="10" t="n">
        <v>4</v>
      </c>
      <c r="C12" s="23" t="inlineStr">
        <is>
          <t>C6, C9, C11, C30</t>
        </is>
      </c>
      <c r="D12" s="10" t="n">
        <v>3</v>
      </c>
      <c r="E12" s="23" t="inlineStr">
        <is>
          <t>گربه (Cat)</t>
        </is>
      </c>
      <c r="F12" s="10" t="inlineStr">
        <is>
          <t>🐱</t>
        </is>
      </c>
    </row>
    <row r="13">
      <c r="A13" s="20" t="inlineStr">
        <is>
          <t>C11</t>
        </is>
      </c>
      <c r="B13" s="13" t="n">
        <v>4</v>
      </c>
      <c r="C13" s="21" t="inlineStr">
        <is>
          <t>C10, C12, C15, C36</t>
        </is>
      </c>
      <c r="D13" s="13" t="n">
        <v>6</v>
      </c>
      <c r="E13" s="21" t="inlineStr">
        <is>
          <t>قورباغه (Frog)</t>
        </is>
      </c>
      <c r="F13" s="13" t="inlineStr">
        <is>
          <t>🐸</t>
        </is>
      </c>
    </row>
    <row r="14">
      <c r="A14" s="22" t="inlineStr">
        <is>
          <t>C12</t>
        </is>
      </c>
      <c r="B14" s="10" t="n">
        <v>4</v>
      </c>
      <c r="C14" s="23" t="inlineStr">
        <is>
          <t>C8, C11, C13, C14</t>
        </is>
      </c>
      <c r="D14" s="10" t="n">
        <v>4</v>
      </c>
      <c r="E14" s="23" t="inlineStr">
        <is>
          <t>آهو (Deer)</t>
        </is>
      </c>
      <c r="F14" s="10" t="inlineStr">
        <is>
          <t>🦌</t>
        </is>
      </c>
    </row>
    <row r="15">
      <c r="A15" s="20" t="inlineStr">
        <is>
          <t>C13</t>
        </is>
      </c>
      <c r="B15" s="13" t="n">
        <v>3</v>
      </c>
      <c r="C15" s="21" t="inlineStr">
        <is>
          <t>C12, C14, C17</t>
        </is>
      </c>
      <c r="D15" s="13" t="n">
        <v>2</v>
      </c>
      <c r="E15" s="21" t="inlineStr">
        <is>
          <t>پرنده (Bird)</t>
        </is>
      </c>
      <c r="F15" s="13" t="inlineStr">
        <is>
          <t>🐦</t>
        </is>
      </c>
    </row>
    <row r="16">
      <c r="A16" s="22" t="inlineStr">
        <is>
          <t>C14</t>
        </is>
      </c>
      <c r="B16" s="10" t="n">
        <v>3</v>
      </c>
      <c r="C16" s="23" t="inlineStr">
        <is>
          <t>C12, C13, C15</t>
        </is>
      </c>
      <c r="D16" s="10" t="n">
        <v>0</v>
      </c>
      <c r="E16" s="23" t="inlineStr">
        <is>
          <t>هواپیما (Airplane)</t>
        </is>
      </c>
      <c r="F16" s="10" t="inlineStr">
        <is>
          <t>✈️</t>
        </is>
      </c>
    </row>
    <row r="17">
      <c r="A17" s="20" t="inlineStr">
        <is>
          <t>C15</t>
        </is>
      </c>
      <c r="B17" s="13" t="n">
        <v>4</v>
      </c>
      <c r="C17" s="21" t="inlineStr">
        <is>
          <t>C11, C14, C16, C35</t>
        </is>
      </c>
      <c r="D17" s="13" t="n">
        <v>8</v>
      </c>
      <c r="E17" s="21" t="inlineStr">
        <is>
          <t>کشتی (Ship)</t>
        </is>
      </c>
      <c r="F17" s="13" t="inlineStr">
        <is>
          <t>🚢</t>
        </is>
      </c>
    </row>
    <row r="18">
      <c r="A18" s="22" t="inlineStr">
        <is>
          <t>C16</t>
        </is>
      </c>
      <c r="B18" s="10" t="n">
        <v>3</v>
      </c>
      <c r="C18" s="23" t="inlineStr">
        <is>
          <t>C15, C17, C20</t>
        </is>
      </c>
      <c r="D18" s="10" t="n">
        <v>7</v>
      </c>
      <c r="E18" s="23" t="inlineStr">
        <is>
          <t>اسب (Horse)</t>
        </is>
      </c>
      <c r="F18" s="10" t="inlineStr">
        <is>
          <t>🐎</t>
        </is>
      </c>
    </row>
    <row r="19">
      <c r="A19" s="20" t="inlineStr">
        <is>
          <t>C17</t>
        </is>
      </c>
      <c r="B19" s="13" t="n">
        <v>4</v>
      </c>
      <c r="C19" s="21" t="inlineStr">
        <is>
          <t>C13, C16, C18, C19</t>
        </is>
      </c>
      <c r="D19" s="13" t="n">
        <v>2</v>
      </c>
      <c r="E19" s="21" t="inlineStr">
        <is>
          <t>پرنده (Bird)</t>
        </is>
      </c>
      <c r="F19" s="13" t="inlineStr">
        <is>
          <t>🐦</t>
        </is>
      </c>
    </row>
    <row r="20">
      <c r="A20" s="22" t="inlineStr">
        <is>
          <t>C18</t>
        </is>
      </c>
      <c r="B20" s="10" t="n">
        <v>3</v>
      </c>
      <c r="C20" s="23" t="inlineStr">
        <is>
          <t>C17, C19, C22</t>
        </is>
      </c>
      <c r="D20" s="10" t="n">
        <v>5</v>
      </c>
      <c r="E20" s="23" t="inlineStr">
        <is>
          <t>سگ (Dog)</t>
        </is>
      </c>
      <c r="F20" s="10" t="inlineStr">
        <is>
          <t>🐶</t>
        </is>
      </c>
    </row>
    <row r="21">
      <c r="A21" s="20" t="inlineStr">
        <is>
          <t>C19</t>
        </is>
      </c>
      <c r="B21" s="13" t="n">
        <v>3</v>
      </c>
      <c r="C21" s="21" t="inlineStr">
        <is>
          <t>C17, C18, C20</t>
        </is>
      </c>
      <c r="D21" s="13" t="n">
        <v>7</v>
      </c>
      <c r="E21" s="21" t="inlineStr">
        <is>
          <t>اسب (Horse)</t>
        </is>
      </c>
      <c r="F21" s="13" t="inlineStr">
        <is>
          <t>🐎</t>
        </is>
      </c>
    </row>
    <row r="22">
      <c r="A22" s="22" t="inlineStr">
        <is>
          <t>C20</t>
        </is>
      </c>
      <c r="B22" s="10" t="n">
        <v>4</v>
      </c>
      <c r="C22" s="23" t="inlineStr">
        <is>
          <t>C16, C19, C21, C40</t>
        </is>
      </c>
      <c r="D22" s="10" t="n">
        <v>0</v>
      </c>
      <c r="E22" s="23" t="inlineStr">
        <is>
          <t>هواپیما (Airplane)</t>
        </is>
      </c>
      <c r="F22" s="10" t="inlineStr">
        <is>
          <t>✈️</t>
        </is>
      </c>
    </row>
    <row r="23">
      <c r="A23" s="20" t="inlineStr">
        <is>
          <t>C21</t>
        </is>
      </c>
      <c r="B23" s="13" t="n">
        <v>4</v>
      </c>
      <c r="C23" s="21" t="inlineStr">
        <is>
          <t>C20, C22, C25, C46</t>
        </is>
      </c>
      <c r="D23" s="13" t="n">
        <v>8</v>
      </c>
      <c r="E23" s="21" t="inlineStr">
        <is>
          <t>کشتی (Ship)</t>
        </is>
      </c>
      <c r="F23" s="13" t="inlineStr">
        <is>
          <t>🚢</t>
        </is>
      </c>
    </row>
    <row r="24">
      <c r="A24" s="22" t="inlineStr">
        <is>
          <t>C22</t>
        </is>
      </c>
      <c r="B24" s="10" t="n">
        <v>4</v>
      </c>
      <c r="C24" s="23" t="inlineStr">
        <is>
          <t>C18, C21, C23, C24</t>
        </is>
      </c>
      <c r="D24" s="10" t="n">
        <v>3</v>
      </c>
      <c r="E24" s="23" t="inlineStr">
        <is>
          <t>گربه (Cat)</t>
        </is>
      </c>
      <c r="F24" s="10" t="inlineStr">
        <is>
          <t>🐱</t>
        </is>
      </c>
    </row>
    <row r="25">
      <c r="A25" s="20" t="inlineStr">
        <is>
          <t>C23</t>
        </is>
      </c>
      <c r="B25" s="13" t="n">
        <v>3</v>
      </c>
      <c r="C25" s="21" t="inlineStr">
        <is>
          <t>C22, C24, C27</t>
        </is>
      </c>
      <c r="D25" s="13" t="n">
        <v>6</v>
      </c>
      <c r="E25" s="21" t="inlineStr">
        <is>
          <t>قورباغه (Frog)</t>
        </is>
      </c>
      <c r="F25" s="13" t="inlineStr">
        <is>
          <t>🐸</t>
        </is>
      </c>
    </row>
    <row r="26">
      <c r="A26" s="22" t="inlineStr">
        <is>
          <t>C24</t>
        </is>
      </c>
      <c r="B26" s="10" t="n">
        <v>3</v>
      </c>
      <c r="C26" s="23" t="inlineStr">
        <is>
          <t>C22, C23, C25</t>
        </is>
      </c>
      <c r="D26" s="10" t="n">
        <v>9</v>
      </c>
      <c r="E26" s="23" t="inlineStr">
        <is>
          <t>کامیون (Truck)</t>
        </is>
      </c>
      <c r="F26" s="10" t="inlineStr">
        <is>
          <t>🚚</t>
        </is>
      </c>
    </row>
    <row r="27">
      <c r="A27" s="20" t="inlineStr">
        <is>
          <t>C25</t>
        </is>
      </c>
      <c r="B27" s="13" t="n">
        <v>5</v>
      </c>
      <c r="C27" s="21" t="inlineStr">
        <is>
          <t>C5, C21, C24, C26, C45</t>
        </is>
      </c>
      <c r="D27" s="13" t="n">
        <v>8</v>
      </c>
      <c r="E27" s="21" t="inlineStr">
        <is>
          <t>کشتی (Ship)</t>
        </is>
      </c>
      <c r="F27" s="13" t="inlineStr">
        <is>
          <t>🚢</t>
        </is>
      </c>
    </row>
    <row r="28">
      <c r="A28" s="22" t="inlineStr">
        <is>
          <t>C26</t>
        </is>
      </c>
      <c r="B28" s="10" t="n">
        <v>4</v>
      </c>
      <c r="C28" s="23" t="inlineStr">
        <is>
          <t>C1, C25, C27, C30</t>
        </is>
      </c>
      <c r="D28" s="10" t="n">
        <v>6</v>
      </c>
      <c r="E28" s="23" t="inlineStr">
        <is>
          <t>قورباغه (Frog)</t>
        </is>
      </c>
      <c r="F28" s="10" t="inlineStr">
        <is>
          <t>🐸</t>
        </is>
      </c>
    </row>
    <row r="29">
      <c r="A29" s="20" t="inlineStr">
        <is>
          <t>C27</t>
        </is>
      </c>
      <c r="B29" s="13" t="n">
        <v>4</v>
      </c>
      <c r="C29" s="21" t="inlineStr">
        <is>
          <t>C23, C26, C28, C29</t>
        </is>
      </c>
      <c r="D29" s="13" t="n">
        <v>5</v>
      </c>
      <c r="E29" s="21" t="inlineStr">
        <is>
          <t>سگ (Dog)</t>
        </is>
      </c>
      <c r="F29" s="13" t="inlineStr">
        <is>
          <t>🐶</t>
        </is>
      </c>
    </row>
    <row r="30">
      <c r="A30" s="22" t="inlineStr">
        <is>
          <t>C28</t>
        </is>
      </c>
      <c r="B30" s="10" t="n">
        <v>3</v>
      </c>
      <c r="C30" s="23" t="inlineStr">
        <is>
          <t>C27, C29, C32</t>
        </is>
      </c>
      <c r="D30" s="10" t="n">
        <v>4</v>
      </c>
      <c r="E30" s="23" t="inlineStr">
        <is>
          <t>آهو (Deer)</t>
        </is>
      </c>
      <c r="F30" s="10" t="inlineStr">
        <is>
          <t>🦌</t>
        </is>
      </c>
    </row>
    <row r="31">
      <c r="A31" s="20" t="inlineStr">
        <is>
          <t>C29</t>
        </is>
      </c>
      <c r="B31" s="13" t="n">
        <v>3</v>
      </c>
      <c r="C31" s="21" t="inlineStr">
        <is>
          <t>C27, C28, C30</t>
        </is>
      </c>
      <c r="D31" s="13" t="n">
        <v>4</v>
      </c>
      <c r="E31" s="21" t="inlineStr">
        <is>
          <t>آهو (Deer)</t>
        </is>
      </c>
      <c r="F31" s="13" t="inlineStr">
        <is>
          <t>🦌</t>
        </is>
      </c>
    </row>
    <row r="32">
      <c r="A32" s="22" t="inlineStr">
        <is>
          <t>C30</t>
        </is>
      </c>
      <c r="B32" s="10" t="n">
        <v>4</v>
      </c>
      <c r="C32" s="23" t="inlineStr">
        <is>
          <t>C10, C26, C29, C31</t>
        </is>
      </c>
      <c r="D32" s="10" t="n">
        <v>8</v>
      </c>
      <c r="E32" s="23" t="inlineStr">
        <is>
          <t>کشتی (Ship)</t>
        </is>
      </c>
      <c r="F32" s="10" t="inlineStr">
        <is>
          <t>🚢</t>
        </is>
      </c>
    </row>
    <row r="33">
      <c r="A33" s="20" t="inlineStr">
        <is>
          <t>C31</t>
        </is>
      </c>
      <c r="B33" s="13" t="n">
        <v>3</v>
      </c>
      <c r="C33" s="21" t="inlineStr">
        <is>
          <t>C30, C32, C35</t>
        </is>
      </c>
      <c r="D33" s="13" t="n">
        <v>9</v>
      </c>
      <c r="E33" s="21" t="inlineStr">
        <is>
          <t>کامیون (Truck)</t>
        </is>
      </c>
      <c r="F33" s="13" t="inlineStr">
        <is>
          <t>🚚</t>
        </is>
      </c>
    </row>
    <row r="34">
      <c r="A34" s="22" t="inlineStr">
        <is>
          <t>C32</t>
        </is>
      </c>
      <c r="B34" s="10" t="n">
        <v>4</v>
      </c>
      <c r="C34" s="23" t="inlineStr">
        <is>
          <t>C28, C31, C33, C34</t>
        </is>
      </c>
      <c r="D34" s="10" t="n">
        <v>7</v>
      </c>
      <c r="E34" s="23" t="inlineStr">
        <is>
          <t>اسب (Horse)</t>
        </is>
      </c>
      <c r="F34" s="10" t="inlineStr">
        <is>
          <t>🐎</t>
        </is>
      </c>
    </row>
    <row r="35">
      <c r="A35" s="20" t="inlineStr">
        <is>
          <t>C33</t>
        </is>
      </c>
      <c r="B35" s="13" t="n">
        <v>3</v>
      </c>
      <c r="C35" s="21" t="inlineStr">
        <is>
          <t>C32, C34, C37</t>
        </is>
      </c>
      <c r="D35" s="13" t="n">
        <v>6</v>
      </c>
      <c r="E35" s="21" t="inlineStr">
        <is>
          <t>قورباغه (Frog)</t>
        </is>
      </c>
      <c r="F35" s="13" t="inlineStr">
        <is>
          <t>🐸</t>
        </is>
      </c>
    </row>
    <row r="36">
      <c r="A36" s="22" t="inlineStr">
        <is>
          <t>C34</t>
        </is>
      </c>
      <c r="B36" s="10" t="n">
        <v>3</v>
      </c>
      <c r="C36" s="23" t="inlineStr">
        <is>
          <t>C32, C33, C35</t>
        </is>
      </c>
      <c r="D36" s="10" t="n">
        <v>8</v>
      </c>
      <c r="E36" s="23" t="inlineStr">
        <is>
          <t>کشتی (Ship)</t>
        </is>
      </c>
      <c r="F36" s="10" t="inlineStr">
        <is>
          <t>🚢</t>
        </is>
      </c>
    </row>
    <row r="37">
      <c r="A37" s="20" t="inlineStr">
        <is>
          <t>C35</t>
        </is>
      </c>
      <c r="B37" s="13" t="n">
        <v>4</v>
      </c>
      <c r="C37" s="21" t="inlineStr">
        <is>
          <t>C15, C31, C34, C36</t>
        </is>
      </c>
      <c r="D37" s="13" t="n">
        <v>2</v>
      </c>
      <c r="E37" s="21" t="inlineStr">
        <is>
          <t>پرنده (Bird)</t>
        </is>
      </c>
      <c r="F37" s="13" t="inlineStr">
        <is>
          <t>🐦</t>
        </is>
      </c>
    </row>
    <row r="38">
      <c r="A38" s="22" t="inlineStr">
        <is>
          <t>C36</t>
        </is>
      </c>
      <c r="B38" s="10" t="n">
        <v>4</v>
      </c>
      <c r="C38" s="23" t="inlineStr">
        <is>
          <t>C11, C35, C37, C40</t>
        </is>
      </c>
      <c r="D38" s="10" t="n">
        <v>9</v>
      </c>
      <c r="E38" s="23" t="inlineStr">
        <is>
          <t>کامیون (Truck)</t>
        </is>
      </c>
      <c r="F38" s="10" t="inlineStr">
        <is>
          <t>🚚</t>
        </is>
      </c>
    </row>
    <row r="39">
      <c r="A39" s="20" t="inlineStr">
        <is>
          <t>C37</t>
        </is>
      </c>
      <c r="B39" s="13" t="n">
        <v>4</v>
      </c>
      <c r="C39" s="21" t="inlineStr">
        <is>
          <t>C33, C36, C38, C39</t>
        </is>
      </c>
      <c r="D39" s="13" t="n">
        <v>9</v>
      </c>
      <c r="E39" s="21" t="inlineStr">
        <is>
          <t>کامیون (Truck)</t>
        </is>
      </c>
      <c r="F39" s="13" t="inlineStr">
        <is>
          <t>🚚</t>
        </is>
      </c>
    </row>
    <row r="40">
      <c r="A40" s="22" t="inlineStr">
        <is>
          <t>C38</t>
        </is>
      </c>
      <c r="B40" s="10" t="n">
        <v>3</v>
      </c>
      <c r="C40" s="23" t="inlineStr">
        <is>
          <t>C37, C39, C42</t>
        </is>
      </c>
      <c r="D40" s="10" t="n">
        <v>0</v>
      </c>
      <c r="E40" s="23" t="inlineStr">
        <is>
          <t>هواپیما (Airplane)</t>
        </is>
      </c>
      <c r="F40" s="10" t="inlineStr">
        <is>
          <t>✈️</t>
        </is>
      </c>
    </row>
    <row r="41">
      <c r="A41" s="20" t="inlineStr">
        <is>
          <t>C39</t>
        </is>
      </c>
      <c r="B41" s="13" t="n">
        <v>3</v>
      </c>
      <c r="C41" s="21" t="inlineStr">
        <is>
          <t>C37, C38, C40</t>
        </is>
      </c>
      <c r="D41" s="13" t="n">
        <v>5</v>
      </c>
      <c r="E41" s="21" t="inlineStr">
        <is>
          <t>سگ (Dog)</t>
        </is>
      </c>
      <c r="F41" s="13" t="inlineStr">
        <is>
          <t>🐶</t>
        </is>
      </c>
    </row>
    <row r="42">
      <c r="A42" s="22" t="inlineStr">
        <is>
          <t>C40</t>
        </is>
      </c>
      <c r="B42" s="10" t="n">
        <v>4</v>
      </c>
      <c r="C42" s="23" t="inlineStr">
        <is>
          <t>C20, C36, C39, C41</t>
        </is>
      </c>
      <c r="D42" s="10" t="n">
        <v>7</v>
      </c>
      <c r="E42" s="23" t="inlineStr">
        <is>
          <t>اسب (Horse)</t>
        </is>
      </c>
      <c r="F42" s="10" t="inlineStr">
        <is>
          <t>🐎</t>
        </is>
      </c>
    </row>
    <row r="43">
      <c r="A43" s="20" t="inlineStr">
        <is>
          <t>C41</t>
        </is>
      </c>
      <c r="B43" s="13" t="n">
        <v>3</v>
      </c>
      <c r="C43" s="21" t="inlineStr">
        <is>
          <t>C40, C42, C45</t>
        </is>
      </c>
      <c r="D43" s="13" t="n">
        <v>1</v>
      </c>
      <c r="E43" s="21" t="inlineStr">
        <is>
          <t>اتومبیل (Automobile)</t>
        </is>
      </c>
      <c r="F43" s="13" t="inlineStr">
        <is>
          <t>🚗</t>
        </is>
      </c>
    </row>
    <row r="44">
      <c r="A44" s="22" t="inlineStr">
        <is>
          <t>C42</t>
        </is>
      </c>
      <c r="B44" s="10" t="n">
        <v>4</v>
      </c>
      <c r="C44" s="23" t="inlineStr">
        <is>
          <t>C38, C41, C43, C44</t>
        </is>
      </c>
      <c r="D44" s="10" t="n">
        <v>6</v>
      </c>
      <c r="E44" s="23" t="inlineStr">
        <is>
          <t>قورباغه (Frog)</t>
        </is>
      </c>
      <c r="F44" s="10" t="inlineStr">
        <is>
          <t>🐸</t>
        </is>
      </c>
    </row>
    <row r="45">
      <c r="A45" s="20" t="inlineStr">
        <is>
          <t>C43</t>
        </is>
      </c>
      <c r="B45" s="13" t="n">
        <v>3</v>
      </c>
      <c r="C45" s="21" t="inlineStr">
        <is>
          <t>C42, C44, C47</t>
        </is>
      </c>
      <c r="D45" s="13" t="n">
        <v>1</v>
      </c>
      <c r="E45" s="21" t="inlineStr">
        <is>
          <t>اتومبیل (Automobile)</t>
        </is>
      </c>
      <c r="F45" s="13" t="inlineStr">
        <is>
          <t>🚗</t>
        </is>
      </c>
    </row>
    <row r="46">
      <c r="A46" s="22" t="inlineStr">
        <is>
          <t>C44</t>
        </is>
      </c>
      <c r="B46" s="10" t="n">
        <v>3</v>
      </c>
      <c r="C46" s="23" t="inlineStr">
        <is>
          <t>C42, C43, C45</t>
        </is>
      </c>
      <c r="D46" s="10" t="n">
        <v>1</v>
      </c>
      <c r="E46" s="23" t="inlineStr">
        <is>
          <t>اتومبیل (Automobile)</t>
        </is>
      </c>
      <c r="F46" s="10" t="inlineStr">
        <is>
          <t>🚗</t>
        </is>
      </c>
    </row>
    <row r="47">
      <c r="A47" s="20" t="inlineStr">
        <is>
          <t>C45</t>
        </is>
      </c>
      <c r="B47" s="13" t="n">
        <v>4</v>
      </c>
      <c r="C47" s="21" t="inlineStr">
        <is>
          <t>C25, C41, C44, C46</t>
        </is>
      </c>
      <c r="D47" s="13" t="n">
        <v>2</v>
      </c>
      <c r="E47" s="21" t="inlineStr">
        <is>
          <t>پرنده (Bird)</t>
        </is>
      </c>
      <c r="F47" s="13" t="inlineStr">
        <is>
          <t>🐦</t>
        </is>
      </c>
    </row>
    <row r="48">
      <c r="A48" s="22" t="inlineStr">
        <is>
          <t>C46</t>
        </is>
      </c>
      <c r="B48" s="10" t="n">
        <v>4</v>
      </c>
      <c r="C48" s="23" t="inlineStr">
        <is>
          <t>C21, C45, C47, C50</t>
        </is>
      </c>
      <c r="D48" s="10" t="n">
        <v>3</v>
      </c>
      <c r="E48" s="23" t="inlineStr">
        <is>
          <t>گربه (Cat)</t>
        </is>
      </c>
      <c r="F48" s="10" t="inlineStr">
        <is>
          <t>🐱</t>
        </is>
      </c>
    </row>
    <row r="49">
      <c r="A49" s="20" t="inlineStr">
        <is>
          <t>C47</t>
        </is>
      </c>
      <c r="B49" s="13" t="n">
        <v>4</v>
      </c>
      <c r="C49" s="21" t="inlineStr">
        <is>
          <t>C43, C46, C48, C49</t>
        </is>
      </c>
      <c r="D49" s="13" t="n">
        <v>3</v>
      </c>
      <c r="E49" s="21" t="inlineStr">
        <is>
          <t>گربه (Cat)</t>
        </is>
      </c>
      <c r="F49" s="13" t="inlineStr">
        <is>
          <t>🐱</t>
        </is>
      </c>
    </row>
    <row r="50">
      <c r="A50" s="22" t="inlineStr">
        <is>
          <t>C48</t>
        </is>
      </c>
      <c r="B50" s="10" t="n">
        <v>3</v>
      </c>
      <c r="C50" s="23" t="inlineStr">
        <is>
          <t>C2, C47, C49</t>
        </is>
      </c>
      <c r="D50" s="10" t="n">
        <v>0</v>
      </c>
      <c r="E50" s="23" t="inlineStr">
        <is>
          <t>هواپیما (Airplane)</t>
        </is>
      </c>
      <c r="F50" s="10" t="inlineStr">
        <is>
          <t>✈️</t>
        </is>
      </c>
    </row>
    <row r="51">
      <c r="A51" s="20" t="inlineStr">
        <is>
          <t>C49</t>
        </is>
      </c>
      <c r="B51" s="13" t="n">
        <v>3</v>
      </c>
      <c r="C51" s="21" t="inlineStr">
        <is>
          <t>C47, C48, C50</t>
        </is>
      </c>
      <c r="D51" s="13" t="n">
        <v>1</v>
      </c>
      <c r="E51" s="21" t="inlineStr">
        <is>
          <t>اتومبیل (Automobile)</t>
        </is>
      </c>
      <c r="F51" s="13" t="inlineStr">
        <is>
          <t>🚗</t>
        </is>
      </c>
    </row>
    <row r="52">
      <c r="A52" s="22" t="inlineStr">
        <is>
          <t>C50</t>
        </is>
      </c>
      <c r="B52" s="10" t="n">
        <v>3</v>
      </c>
      <c r="C52" s="23" t="inlineStr">
        <is>
          <t>C1, C46, C49</t>
        </is>
      </c>
      <c r="D52" s="10" t="n">
        <v>8</v>
      </c>
      <c r="E52" s="23" t="inlineStr">
        <is>
          <t>کشتی (Ship)</t>
        </is>
      </c>
      <c r="F52" s="10" t="inlineStr">
        <is>
          <t>🚢</t>
        </is>
      </c>
    </row>
    <row r="53">
      <c r="A53" s="16" t="inlineStr">
        <is>
          <t>میانگین / مجموع</t>
        </is>
      </c>
      <c r="B53" s="24">
        <f>AVERAGE(B3:B52)</f>
        <v/>
      </c>
      <c r="C53" s="16" t="inlineStr">
        <is>
          <t>مجموع اتصالات: 180 (90 لینک دوطرفه)</t>
        </is>
      </c>
      <c r="D53" s="17" t="n"/>
      <c r="E53" s="17" t="n"/>
      <c r="F53" s="17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14" customWidth="1" min="4" max="4"/>
    <col width="25" customWidth="1" min="5" max="5"/>
    <col width="28" customWidth="1" min="6" max="6"/>
    <col width="32" customWidth="1" min="7" max="7"/>
    <col width="28" customWidth="1" min="8" max="8"/>
    <col width="20" customWidth="1" min="9" max="9"/>
    <col width="16" customWidth="1" min="10" max="10"/>
    <col width="16" customWidth="1" min="11" max="11"/>
    <col width="20" customWidth="1" min="12" max="12"/>
  </cols>
  <sheetData>
    <row r="1" ht="35" customHeight="1">
      <c r="A1" s="25" t="inlineStr">
        <is>
          <t>رأی‌گیری غیرمتمرکز VRF، انتشار پیام‌های کاوش (TTL=3) و تشکیل ۱۰ زون فیزیکی</t>
        </is>
      </c>
    </row>
    <row r="2" ht="30" customHeight="1">
      <c r="A2" s="26" t="inlineStr">
        <is>
          <t>شناسه گره
(Node ID)</t>
        </is>
      </c>
      <c r="B2" s="26" t="inlineStr">
        <is>
          <t>کلید خصوصی
(Private Key sk)</t>
        </is>
      </c>
      <c r="C2" s="26" t="inlineStr">
        <is>
          <t>فرمول محاسباتی VRF
((Seed+ID)*sk+1337)%10000</t>
        </is>
      </c>
      <c r="D2" s="26" t="inlineStr">
        <is>
          <t>امتیاز VRF
(Score σ)</t>
        </is>
      </c>
      <c r="E2" s="26" t="inlineStr">
        <is>
          <t>پیام‌های ارسالی TTL=3 (گام ۱)
(Direct Neighbors)</t>
        </is>
      </c>
      <c r="F2" s="26" t="inlineStr">
        <is>
          <t>پیام‌های ارسالی TTL=3 (گام ۲)
(2-Hop Reach)</t>
        </is>
      </c>
      <c r="G2" s="26" t="inlineStr">
        <is>
          <t>پیام‌های ارسالی TTL=3 (گام ۳)
(3-Hop Reach)</t>
        </is>
      </c>
      <c r="H2" s="26" t="inlineStr">
        <is>
          <t>پاسخ‌های دریافتی
(Incoming Scores)</t>
        </is>
      </c>
      <c r="I2" s="26" t="inlineStr">
        <is>
          <t>وضعیت نهایی
(Status)</t>
        </is>
      </c>
      <c r="J2" s="26" t="inlineStr">
        <is>
          <t>زون اختصاص‌یافته
(Assigned Zone)</t>
        </is>
      </c>
      <c r="K2" s="26" t="inlineStr">
        <is>
          <t>فاصله تا آغازگر
(Hops to Initiator)</t>
        </is>
      </c>
      <c r="L2" s="26" t="inlineStr">
        <is>
          <t>کلاس داده
(CIFAR-10 Class)</t>
        </is>
      </c>
    </row>
    <row r="3" ht="24" customHeight="1">
      <c r="A3" s="27" t="inlineStr">
        <is>
          <t>C1</t>
        </is>
      </c>
      <c r="B3" s="27" t="n">
        <v>9098</v>
      </c>
      <c r="C3" s="28" t="inlineStr">
        <is>
          <t>((100+1)*9098+1337)%10000</t>
        </is>
      </c>
      <c r="D3" s="27" t="n">
        <v>0.0235</v>
      </c>
      <c r="E3" s="28" t="inlineStr">
        <is>
          <t>C2, C5, C26, C50</t>
        </is>
      </c>
      <c r="F3" s="28" t="inlineStr">
        <is>
          <t>C3, C4, C6, C25, C27, C30, C46, C48, C49</t>
        </is>
      </c>
      <c r="G3" s="28" t="inlineStr">
        <is>
          <t>C7, C10, C21, C23, C24, C28, C29, C31, C45, C47</t>
        </is>
      </c>
      <c r="H3" s="28" t="inlineStr">
        <is>
          <t>دریافت از 23 گره همسایه (شعاع ۳ گام)</t>
        </is>
      </c>
      <c r="I3" s="27" t="inlineStr">
        <is>
          <t>آغازگر (Initiator)</t>
        </is>
      </c>
      <c r="J3" s="27" t="inlineStr">
        <is>
          <t>زون C1</t>
        </is>
      </c>
      <c r="K3" s="27" t="inlineStr">
        <is>
          <t>۰ (خود آغازگر)</t>
        </is>
      </c>
      <c r="L3" s="28" t="inlineStr">
        <is>
          <t>🐶 سگ (Dog)</t>
        </is>
      </c>
    </row>
    <row r="4" ht="24" customHeight="1">
      <c r="A4" s="29" t="inlineStr">
        <is>
          <t>C2</t>
        </is>
      </c>
      <c r="B4" s="29" t="n">
        <v>3455</v>
      </c>
      <c r="C4" s="30" t="inlineStr">
        <is>
          <t>((100+2)*3455+1337)%10000</t>
        </is>
      </c>
      <c r="D4" s="29" t="n">
        <v>0.3747</v>
      </c>
      <c r="E4" s="30" t="inlineStr">
        <is>
          <t>C1, C3, C4, C48</t>
        </is>
      </c>
      <c r="F4" s="30" t="inlineStr">
        <is>
          <t>C5, C7, C26, C47, C49, C50</t>
        </is>
      </c>
      <c r="G4" s="30" t="inlineStr">
        <is>
          <t>C6, C8, C9, C25, C27, C30, C43, C46</t>
        </is>
      </c>
      <c r="H4" s="30" t="inlineStr">
        <is>
          <t>دریافت از 18 گره همسایه (شعاع ۳ گام)</t>
        </is>
      </c>
      <c r="I4" s="29" t="inlineStr">
        <is>
          <t>عضو عادی (Non-Initiator)</t>
        </is>
      </c>
      <c r="J4" s="29" t="inlineStr">
        <is>
          <t>زون C1</t>
        </is>
      </c>
      <c r="K4" s="29" t="inlineStr">
        <is>
          <t>1 گام</t>
        </is>
      </c>
      <c r="L4" s="30" t="inlineStr">
        <is>
          <t>🐶 سگ (Dog)</t>
        </is>
      </c>
    </row>
    <row r="5" ht="24" customHeight="1">
      <c r="A5" s="31" t="inlineStr">
        <is>
          <t>C3</t>
        </is>
      </c>
      <c r="B5" s="31" t="n">
        <v>6044</v>
      </c>
      <c r="C5" s="32" t="inlineStr">
        <is>
          <t>((100+3)*6044+1337)%10000</t>
        </is>
      </c>
      <c r="D5" s="31" t="n">
        <v>0.3869</v>
      </c>
      <c r="E5" s="32" t="inlineStr">
        <is>
          <t>C2, C4, C7</t>
        </is>
      </c>
      <c r="F5" s="32" t="inlineStr">
        <is>
          <t>C1, C5, C6, C8, C9, C48</t>
        </is>
      </c>
      <c r="G5" s="32" t="inlineStr">
        <is>
          <t>C10, C12, C25, C26, C47, C49, C50</t>
        </is>
      </c>
      <c r="H5" s="32" t="inlineStr">
        <is>
          <t>دریافت از 16 گره همسایه (شعاع ۳ گام)</t>
        </is>
      </c>
      <c r="I5" s="31" t="inlineStr">
        <is>
          <t>عضو عادی (Non-Initiator)</t>
        </is>
      </c>
      <c r="J5" s="31" t="inlineStr">
        <is>
          <t>زون C1</t>
        </is>
      </c>
      <c r="K5" s="31" t="inlineStr">
        <is>
          <t>2 گام</t>
        </is>
      </c>
      <c r="L5" s="32" t="inlineStr">
        <is>
          <t>🐱 گربه (Cat)</t>
        </is>
      </c>
    </row>
    <row r="6" ht="24" customHeight="1">
      <c r="A6" s="29" t="inlineStr">
        <is>
          <t>C4</t>
        </is>
      </c>
      <c r="B6" s="29" t="n">
        <v>314</v>
      </c>
      <c r="C6" s="30" t="inlineStr">
        <is>
          <t>((100+4)*314+1337)%10000</t>
        </is>
      </c>
      <c r="D6" s="29" t="n">
        <v>0.3993</v>
      </c>
      <c r="E6" s="30" t="inlineStr">
        <is>
          <t>C2, C3, C5</t>
        </is>
      </c>
      <c r="F6" s="30" t="inlineStr">
        <is>
          <t>C1, C6, C7, C25, C48</t>
        </is>
      </c>
      <c r="G6" s="30" t="inlineStr">
        <is>
          <t>C8, C9, C10, C21, C24, C26, C45, C47, C49, C50</t>
        </is>
      </c>
      <c r="H6" s="30" t="inlineStr">
        <is>
          <t>دریافت از 18 گره همسایه (شعاع ۳ گام)</t>
        </is>
      </c>
      <c r="I6" s="29" t="inlineStr">
        <is>
          <t>عضو عادی (Non-Initiator)</t>
        </is>
      </c>
      <c r="J6" s="29" t="inlineStr">
        <is>
          <t>زون C1</t>
        </is>
      </c>
      <c r="K6" s="29" t="inlineStr">
        <is>
          <t>2 گام</t>
        </is>
      </c>
      <c r="L6" s="30" t="inlineStr">
        <is>
          <t>🐦 پرنده (Bird)</t>
        </is>
      </c>
    </row>
    <row r="7" ht="24" customHeight="1">
      <c r="A7" s="31" t="inlineStr">
        <is>
          <t>C5</t>
        </is>
      </c>
      <c r="B7" s="31" t="n">
        <v>1836</v>
      </c>
      <c r="C7" s="32" t="inlineStr">
        <is>
          <t>((100+5)*1836+1337)%10000</t>
        </is>
      </c>
      <c r="D7" s="31" t="n">
        <v>0.4117</v>
      </c>
      <c r="E7" s="32" t="inlineStr">
        <is>
          <t>C1, C4, C6, C25</t>
        </is>
      </c>
      <c r="F7" s="32" t="inlineStr">
        <is>
          <t>C2, C3, C7, C10, C21, C24, C26, C45, C50</t>
        </is>
      </c>
      <c r="G7" s="32" t="inlineStr">
        <is>
          <t>C8, C9, C11, C20, C22, C23, C27, C30, C41, C44, C46, C48, C49</t>
        </is>
      </c>
      <c r="H7" s="32" t="inlineStr">
        <is>
          <t>دریافت از 26 گره همسایه (شعاع ۳ گام)</t>
        </is>
      </c>
      <c r="I7" s="31" t="inlineStr">
        <is>
          <t>عضو عادی (Non-Initiator)</t>
        </is>
      </c>
      <c r="J7" s="31" t="inlineStr">
        <is>
          <t>زون C1</t>
        </is>
      </c>
      <c r="K7" s="31" t="inlineStr">
        <is>
          <t>1 گام</t>
        </is>
      </c>
      <c r="L7" s="32" t="inlineStr">
        <is>
          <t>✈️ هواپیما (Airplane)</t>
        </is>
      </c>
    </row>
    <row r="8" ht="24" customHeight="1">
      <c r="A8" s="27" t="inlineStr">
        <is>
          <t>C6</t>
        </is>
      </c>
      <c r="B8" s="27" t="n">
        <v>1029</v>
      </c>
      <c r="C8" s="28" t="inlineStr">
        <is>
          <t>((100+6)*1029+1337)%10000</t>
        </is>
      </c>
      <c r="D8" s="27" t="n">
        <v>0.0411</v>
      </c>
      <c r="E8" s="28" t="inlineStr">
        <is>
          <t>C5, C7, C10</t>
        </is>
      </c>
      <c r="F8" s="28" t="inlineStr">
        <is>
          <t>C1, C3, C4, C8, C9, C11, C25, C30</t>
        </is>
      </c>
      <c r="G8" s="28" t="inlineStr">
        <is>
          <t>C2, C12, C15, C21, C24, C26, C29, C31, C36, C45, C50</t>
        </is>
      </c>
      <c r="H8" s="28" t="inlineStr">
        <is>
          <t>دریافت از 22 گره همسایه (شعاع ۳ گام)</t>
        </is>
      </c>
      <c r="I8" s="27" t="inlineStr">
        <is>
          <t>آغازگر (Initiator)</t>
        </is>
      </c>
      <c r="J8" s="27" t="inlineStr">
        <is>
          <t>زون C6</t>
        </is>
      </c>
      <c r="K8" s="27" t="inlineStr">
        <is>
          <t>۰ (خود آغازگر)</t>
        </is>
      </c>
      <c r="L8" s="28" t="inlineStr">
        <is>
          <t>🚚 کامیون (Truck)</t>
        </is>
      </c>
    </row>
    <row r="9" ht="24" customHeight="1">
      <c r="A9" s="31" t="inlineStr">
        <is>
          <t>C7</t>
        </is>
      </c>
      <c r="B9" s="31" t="n">
        <v>2832</v>
      </c>
      <c r="C9" s="32" t="inlineStr">
        <is>
          <t>((100+7)*2832+1337)%10000</t>
        </is>
      </c>
      <c r="D9" s="31" t="n">
        <v>0.4361</v>
      </c>
      <c r="E9" s="32" t="inlineStr">
        <is>
          <t>C3, C6, C8, C9</t>
        </is>
      </c>
      <c r="F9" s="32" t="inlineStr">
        <is>
          <t>C2, C4, C5, C10, C12</t>
        </is>
      </c>
      <c r="G9" s="32" t="inlineStr">
        <is>
          <t>C1, C11, C13, C14, C25, C30, C48</t>
        </is>
      </c>
      <c r="H9" s="32" t="inlineStr">
        <is>
          <t>دریافت از 16 گره همسایه (شعاع ۳ گام)</t>
        </is>
      </c>
      <c r="I9" s="31" t="inlineStr">
        <is>
          <t>عضو عادی (Non-Initiator)</t>
        </is>
      </c>
      <c r="J9" s="31" t="inlineStr">
        <is>
          <t>زون C6</t>
        </is>
      </c>
      <c r="K9" s="31" t="inlineStr">
        <is>
          <t>1 گام</t>
        </is>
      </c>
      <c r="L9" s="32" t="inlineStr">
        <is>
          <t>🐶 سگ (Dog)</t>
        </is>
      </c>
    </row>
    <row r="10" ht="24" customHeight="1">
      <c r="A10" s="29" t="inlineStr">
        <is>
          <t>C8</t>
        </is>
      </c>
      <c r="B10" s="29" t="n">
        <v>1881</v>
      </c>
      <c r="C10" s="30" t="inlineStr">
        <is>
          <t>((100+8)*1881+1337)%10000</t>
        </is>
      </c>
      <c r="D10" s="29" t="n">
        <v>0.4485</v>
      </c>
      <c r="E10" s="30" t="inlineStr">
        <is>
          <t>C7, C9, C12</t>
        </is>
      </c>
      <c r="F10" s="30" t="inlineStr">
        <is>
          <t>C3, C6, C10, C11, C13, C14</t>
        </is>
      </c>
      <c r="G10" s="30" t="inlineStr">
        <is>
          <t>C2, C4, C5, C15, C17, C30, C36</t>
        </is>
      </c>
      <c r="H10" s="30" t="inlineStr">
        <is>
          <t>دریافت از 16 گره همسایه (شعاع ۳ گام)</t>
        </is>
      </c>
      <c r="I10" s="29" t="inlineStr">
        <is>
          <t>عضو عادی (Non-Initiator)</t>
        </is>
      </c>
      <c r="J10" s="29" t="inlineStr">
        <is>
          <t>زون C6</t>
        </is>
      </c>
      <c r="K10" s="29" t="inlineStr">
        <is>
          <t>2 گام</t>
        </is>
      </c>
      <c r="L10" s="30" t="inlineStr">
        <is>
          <t>🐦 پرنده (Bird)</t>
        </is>
      </c>
    </row>
    <row r="11" ht="24" customHeight="1">
      <c r="A11" s="31" t="inlineStr">
        <is>
          <t>C9</t>
        </is>
      </c>
      <c r="B11" s="31" t="n">
        <v>30</v>
      </c>
      <c r="C11" s="32" t="inlineStr">
        <is>
          <t>((100+9)*30+1337)%10000</t>
        </is>
      </c>
      <c r="D11" s="31" t="n">
        <v>0.4607</v>
      </c>
      <c r="E11" s="32" t="inlineStr">
        <is>
          <t>C7, C8, C10</t>
        </is>
      </c>
      <c r="F11" s="32" t="inlineStr">
        <is>
          <t>C3, C6, C11, C12, C30</t>
        </is>
      </c>
      <c r="G11" s="32" t="inlineStr">
        <is>
          <t>C2, C4, C5, C13, C14, C15, C26, C29, C31, C36</t>
        </is>
      </c>
      <c r="H11" s="32" t="inlineStr">
        <is>
          <t>دریافت از 18 گره همسایه (شعاع ۳ گام)</t>
        </is>
      </c>
      <c r="I11" s="31" t="inlineStr">
        <is>
          <t>عضو عادی (Non-Initiator)</t>
        </is>
      </c>
      <c r="J11" s="31" t="inlineStr">
        <is>
          <t>زون C6</t>
        </is>
      </c>
      <c r="K11" s="31" t="inlineStr">
        <is>
          <t>2 گام</t>
        </is>
      </c>
      <c r="L11" s="32" t="inlineStr">
        <is>
          <t>🐶 سگ (Dog)</t>
        </is>
      </c>
    </row>
    <row r="12" ht="24" customHeight="1">
      <c r="A12" s="29" t="inlineStr">
        <is>
          <t>C10</t>
        </is>
      </c>
      <c r="B12" s="29" t="n">
        <v>940</v>
      </c>
      <c r="C12" s="30" t="inlineStr">
        <is>
          <t>((100+10)*940+1337)%10000</t>
        </is>
      </c>
      <c r="D12" s="29" t="n">
        <v>0.4737</v>
      </c>
      <c r="E12" s="30" t="inlineStr">
        <is>
          <t>C6, C9, C11, C30</t>
        </is>
      </c>
      <c r="F12" s="30" t="inlineStr">
        <is>
          <t>C5, C7, C8, C12, C15, C26, C29, C31, C36</t>
        </is>
      </c>
      <c r="G12" s="30" t="inlineStr">
        <is>
          <t>C1, C3, C4, C13, C14, C16, C25, C27, C28, C32, C35, C37, C40</t>
        </is>
      </c>
      <c r="H12" s="30" t="inlineStr">
        <is>
          <t>دریافت از 26 گره همسایه (شعاع ۳ گام)</t>
        </is>
      </c>
      <c r="I12" s="29" t="inlineStr">
        <is>
          <t>عضو عادی (Non-Initiator)</t>
        </is>
      </c>
      <c r="J12" s="29" t="inlineStr">
        <is>
          <t>زون C6</t>
        </is>
      </c>
      <c r="K12" s="29" t="inlineStr">
        <is>
          <t>1 گام</t>
        </is>
      </c>
      <c r="L12" s="30" t="inlineStr">
        <is>
          <t>🐱 گربه (Cat)</t>
        </is>
      </c>
    </row>
    <row r="13" ht="24" customHeight="1">
      <c r="A13" s="27" t="inlineStr">
        <is>
          <t>C11</t>
        </is>
      </c>
      <c r="B13" s="27" t="n">
        <v>4768</v>
      </c>
      <c r="C13" s="28" t="inlineStr">
        <is>
          <t>((100+11)*4768+1337)%10000</t>
        </is>
      </c>
      <c r="D13" s="27" t="n">
        <v>0.0585</v>
      </c>
      <c r="E13" s="28" t="inlineStr">
        <is>
          <t>C10, C12, C15, C36</t>
        </is>
      </c>
      <c r="F13" s="28" t="inlineStr">
        <is>
          <t>C6, C8, C9, C13, C14, C16, C30, C35, C37, C40</t>
        </is>
      </c>
      <c r="G13" s="28" t="inlineStr">
        <is>
          <t>C5, C7, C17, C20, C26, C29, C31, C33, C34, C38, C39, C41</t>
        </is>
      </c>
      <c r="H13" s="28" t="inlineStr">
        <is>
          <t>دریافت از 26 گره همسایه (شعاع ۳ گام)</t>
        </is>
      </c>
      <c r="I13" s="27" t="inlineStr">
        <is>
          <t>آغازگر (Initiator)</t>
        </is>
      </c>
      <c r="J13" s="27" t="inlineStr">
        <is>
          <t>زون C11</t>
        </is>
      </c>
      <c r="K13" s="27" t="inlineStr">
        <is>
          <t>۰ (خود آغازگر)</t>
        </is>
      </c>
      <c r="L13" s="28" t="inlineStr">
        <is>
          <t>🐸 قورباغه (Frog)</t>
        </is>
      </c>
    </row>
    <row r="14" ht="24" customHeight="1">
      <c r="A14" s="29" t="inlineStr">
        <is>
          <t>C12</t>
        </is>
      </c>
      <c r="B14" s="29" t="n">
        <v>479</v>
      </c>
      <c r="C14" s="30" t="inlineStr">
        <is>
          <t>((100+12)*479+1337)%10000</t>
        </is>
      </c>
      <c r="D14" s="29" t="n">
        <v>0.4985</v>
      </c>
      <c r="E14" s="30" t="inlineStr">
        <is>
          <t>C8, C11, C13, C14</t>
        </is>
      </c>
      <c r="F14" s="30" t="inlineStr">
        <is>
          <t>C7, C9, C10, C15, C17, C36</t>
        </is>
      </c>
      <c r="G14" s="30" t="inlineStr">
        <is>
          <t>C3, C6, C16, C18, C19, C30, C35, C37, C40</t>
        </is>
      </c>
      <c r="H14" s="30" t="inlineStr">
        <is>
          <t>دریافت از 19 گره همسایه (شعاع ۳ گام)</t>
        </is>
      </c>
      <c r="I14" s="29" t="inlineStr">
        <is>
          <t>عضو عادی (Non-Initiator)</t>
        </is>
      </c>
      <c r="J14" s="29" t="inlineStr">
        <is>
          <t>زون C11</t>
        </is>
      </c>
      <c r="K14" s="29" t="inlineStr">
        <is>
          <t>1 گام</t>
        </is>
      </c>
      <c r="L14" s="30" t="inlineStr">
        <is>
          <t>🦌 آهو (Deer)</t>
        </is>
      </c>
    </row>
    <row r="15" ht="24" customHeight="1">
      <c r="A15" s="31" t="inlineStr">
        <is>
          <t>C13</t>
        </is>
      </c>
      <c r="B15" s="31" t="n">
        <v>5874</v>
      </c>
      <c r="C15" s="32" t="inlineStr">
        <is>
          <t>((100+13)*5874+1337)%10000</t>
        </is>
      </c>
      <c r="D15" s="31" t="n">
        <v>0.5099</v>
      </c>
      <c r="E15" s="32" t="inlineStr">
        <is>
          <t>C12, C14, C17</t>
        </is>
      </c>
      <c r="F15" s="32" t="inlineStr">
        <is>
          <t>C8, C11, C15, C16, C18, C19</t>
        </is>
      </c>
      <c r="G15" s="32" t="inlineStr">
        <is>
          <t>C7, C9, C10, C20, C22, C35, C36</t>
        </is>
      </c>
      <c r="H15" s="32" t="inlineStr">
        <is>
          <t>دریافت از 16 گره همسایه (شعاع ۳ گام)</t>
        </is>
      </c>
      <c r="I15" s="31" t="inlineStr">
        <is>
          <t>عضو عادی (Non-Initiator)</t>
        </is>
      </c>
      <c r="J15" s="31" t="inlineStr">
        <is>
          <t>زون C11</t>
        </is>
      </c>
      <c r="K15" s="31" t="inlineStr">
        <is>
          <t>2 گام</t>
        </is>
      </c>
      <c r="L15" s="32" t="inlineStr">
        <is>
          <t>🐦 پرنده (Bird)</t>
        </is>
      </c>
    </row>
    <row r="16" ht="24" customHeight="1">
      <c r="A16" s="29" t="inlineStr">
        <is>
          <t>C14</t>
        </is>
      </c>
      <c r="B16" s="29" t="n">
        <v>999</v>
      </c>
      <c r="C16" s="30" t="inlineStr">
        <is>
          <t>((100+14)*999+1337)%10000</t>
        </is>
      </c>
      <c r="D16" s="29" t="n">
        <v>0.5223</v>
      </c>
      <c r="E16" s="30" t="inlineStr">
        <is>
          <t>C12, C13, C15</t>
        </is>
      </c>
      <c r="F16" s="30" t="inlineStr">
        <is>
          <t>C8, C11, C16, C17, C35</t>
        </is>
      </c>
      <c r="G16" s="30" t="inlineStr">
        <is>
          <t>C7, C9, C10, C18, C19, C20, C31, C34, C36</t>
        </is>
      </c>
      <c r="H16" s="30" t="inlineStr">
        <is>
          <t>دریافت از 17 گره همسایه (شعاع ۳ گام)</t>
        </is>
      </c>
      <c r="I16" s="29" t="inlineStr">
        <is>
          <t>عضو عادی (Non-Initiator)</t>
        </is>
      </c>
      <c r="J16" s="29" t="inlineStr">
        <is>
          <t>زون C11</t>
        </is>
      </c>
      <c r="K16" s="29" t="inlineStr">
        <is>
          <t>2 گام</t>
        </is>
      </c>
      <c r="L16" s="30" t="inlineStr">
        <is>
          <t>✈️ هواپیما (Airplane)</t>
        </is>
      </c>
    </row>
    <row r="17" ht="24" customHeight="1">
      <c r="A17" s="31" t="inlineStr">
        <is>
          <t>C15</t>
        </is>
      </c>
      <c r="B17" s="31" t="n">
        <v>1774</v>
      </c>
      <c r="C17" s="32" t="inlineStr">
        <is>
          <t>((100+15)*1774+1337)%10000</t>
        </is>
      </c>
      <c r="D17" s="31" t="n">
        <v>0.5347</v>
      </c>
      <c r="E17" s="32" t="inlineStr">
        <is>
          <t>C11, C14, C16, C35</t>
        </is>
      </c>
      <c r="F17" s="32" t="inlineStr">
        <is>
          <t>C10, C12, C13, C17, C20, C31, C34, C36</t>
        </is>
      </c>
      <c r="G17" s="32" t="inlineStr">
        <is>
          <t>C6, C8, C9, C18, C19, C21, C30, C32, C33, C37, C40</t>
        </is>
      </c>
      <c r="H17" s="32" t="inlineStr">
        <is>
          <t>دریافت از 23 گره همسایه (شعاع ۳ گام)</t>
        </is>
      </c>
      <c r="I17" s="31" t="inlineStr">
        <is>
          <t>عضو عادی (Non-Initiator)</t>
        </is>
      </c>
      <c r="J17" s="31" t="inlineStr">
        <is>
          <t>زون C11</t>
        </is>
      </c>
      <c r="K17" s="31" t="inlineStr">
        <is>
          <t>1 گام</t>
        </is>
      </c>
      <c r="L17" s="32" t="inlineStr">
        <is>
          <t>🚢 کشتی (Ship)</t>
        </is>
      </c>
    </row>
    <row r="18" ht="24" customHeight="1">
      <c r="A18" s="27" t="inlineStr">
        <is>
          <t>C16</t>
        </is>
      </c>
      <c r="B18" s="27" t="n">
        <v>2064</v>
      </c>
      <c r="C18" s="28" t="inlineStr">
        <is>
          <t>((100+16)*2064+1337)%10000</t>
        </is>
      </c>
      <c r="D18" s="27" t="n">
        <v>0.0761</v>
      </c>
      <c r="E18" s="28" t="inlineStr">
        <is>
          <t>C15, C17, C20</t>
        </is>
      </c>
      <c r="F18" s="28" t="inlineStr">
        <is>
          <t>C11, C13, C14, C18, C19, C21, C35, C40</t>
        </is>
      </c>
      <c r="G18" s="28" t="inlineStr">
        <is>
          <t>C10, C12, C22, C25, C31, C34, C36, C39, C41, C46</t>
        </is>
      </c>
      <c r="H18" s="28" t="inlineStr">
        <is>
          <t>دریافت از 21 گره همسایه (شعاع ۳ گام)</t>
        </is>
      </c>
      <c r="I18" s="27" t="inlineStr">
        <is>
          <t>آغازگر (Initiator)</t>
        </is>
      </c>
      <c r="J18" s="27" t="inlineStr">
        <is>
          <t>زون C16</t>
        </is>
      </c>
      <c r="K18" s="27" t="inlineStr">
        <is>
          <t>۰ (خود آغازگر)</t>
        </is>
      </c>
      <c r="L18" s="28" t="inlineStr">
        <is>
          <t>🐎 اسب (Horse)</t>
        </is>
      </c>
    </row>
    <row r="19" ht="24" customHeight="1">
      <c r="A19" s="31" t="inlineStr">
        <is>
          <t>C17</t>
        </is>
      </c>
      <c r="B19" s="31" t="n">
        <v>1062</v>
      </c>
      <c r="C19" s="32" t="inlineStr">
        <is>
          <t>((100+17)*1062+1337)%10000</t>
        </is>
      </c>
      <c r="D19" s="31" t="n">
        <v>0.5591</v>
      </c>
      <c r="E19" s="32" t="inlineStr">
        <is>
          <t>C13, C16, C18, C19</t>
        </is>
      </c>
      <c r="F19" s="32" t="inlineStr">
        <is>
          <t>C12, C14, C15, C20, C22</t>
        </is>
      </c>
      <c r="G19" s="32" t="inlineStr">
        <is>
          <t>C8, C11, C21, C23, C24, C35, C40</t>
        </is>
      </c>
      <c r="H19" s="32" t="inlineStr">
        <is>
          <t>دریافت از 16 گره همسایه (شعاع ۳ گام)</t>
        </is>
      </c>
      <c r="I19" s="31" t="inlineStr">
        <is>
          <t>عضو عادی (Non-Initiator)</t>
        </is>
      </c>
      <c r="J19" s="31" t="inlineStr">
        <is>
          <t>زون C16</t>
        </is>
      </c>
      <c r="K19" s="31" t="inlineStr">
        <is>
          <t>1 گام</t>
        </is>
      </c>
      <c r="L19" s="32" t="inlineStr">
        <is>
          <t>🐦 پرنده (Bird)</t>
        </is>
      </c>
    </row>
    <row r="20" ht="24" customHeight="1">
      <c r="A20" s="29" t="inlineStr">
        <is>
          <t>C18</t>
        </is>
      </c>
      <c r="B20" s="29" t="n">
        <v>2071</v>
      </c>
      <c r="C20" s="30" t="inlineStr">
        <is>
          <t>((100+18)*2071+1337)%10000</t>
        </is>
      </c>
      <c r="D20" s="29" t="n">
        <v>0.5715</v>
      </c>
      <c r="E20" s="30" t="inlineStr">
        <is>
          <t>C17, C19, C22</t>
        </is>
      </c>
      <c r="F20" s="30" t="inlineStr">
        <is>
          <t>C13, C16, C20, C21, C23, C24</t>
        </is>
      </c>
      <c r="G20" s="30" t="inlineStr">
        <is>
          <t>C12, C14, C15, C25, C27, C40, C46</t>
        </is>
      </c>
      <c r="H20" s="30" t="inlineStr">
        <is>
          <t>دریافت از 16 گره همسایه (شعاع ۳ گام)</t>
        </is>
      </c>
      <c r="I20" s="29" t="inlineStr">
        <is>
          <t>عضو عادی (Non-Initiator)</t>
        </is>
      </c>
      <c r="J20" s="29" t="inlineStr">
        <is>
          <t>زون C16</t>
        </is>
      </c>
      <c r="K20" s="29" t="inlineStr">
        <is>
          <t>2 گام</t>
        </is>
      </c>
      <c r="L20" s="30" t="inlineStr">
        <is>
          <t>🐶 سگ (Dog)</t>
        </is>
      </c>
    </row>
    <row r="21" ht="24" customHeight="1">
      <c r="A21" s="31" t="inlineStr">
        <is>
          <t>C19</t>
        </is>
      </c>
      <c r="B21" s="31" t="n">
        <v>5500</v>
      </c>
      <c r="C21" s="32" t="inlineStr">
        <is>
          <t>((100+19)*5500+1337)%10000</t>
        </is>
      </c>
      <c r="D21" s="31" t="n">
        <v>0.5837</v>
      </c>
      <c r="E21" s="32" t="inlineStr">
        <is>
          <t>C17, C18, C20</t>
        </is>
      </c>
      <c r="F21" s="32" t="inlineStr">
        <is>
          <t>C13, C16, C21, C22, C40</t>
        </is>
      </c>
      <c r="G21" s="32" t="inlineStr">
        <is>
          <t>C12, C14, C15, C23, C24, C25, C36, C39, C41, C46</t>
        </is>
      </c>
      <c r="H21" s="32" t="inlineStr">
        <is>
          <t>دریافت از 18 گره همسایه (شعاع ۳ گام)</t>
        </is>
      </c>
      <c r="I21" s="31" t="inlineStr">
        <is>
          <t>عضو عادی (Non-Initiator)</t>
        </is>
      </c>
      <c r="J21" s="31" t="inlineStr">
        <is>
          <t>زون C16</t>
        </is>
      </c>
      <c r="K21" s="31" t="inlineStr">
        <is>
          <t>2 گام</t>
        </is>
      </c>
      <c r="L21" s="32" t="inlineStr">
        <is>
          <t>🐎 اسب (Horse)</t>
        </is>
      </c>
    </row>
    <row r="22" ht="24" customHeight="1">
      <c r="A22" s="29" t="inlineStr">
        <is>
          <t>C20</t>
        </is>
      </c>
      <c r="B22" s="29" t="n">
        <v>122</v>
      </c>
      <c r="C22" s="30" t="inlineStr">
        <is>
          <t>((100+20)*122+1337)%10000</t>
        </is>
      </c>
      <c r="D22" s="29" t="n">
        <v>0.5977</v>
      </c>
      <c r="E22" s="30" t="inlineStr">
        <is>
          <t>C16, C19, C21, C40</t>
        </is>
      </c>
      <c r="F22" s="30" t="inlineStr">
        <is>
          <t>C15, C17, C18, C22, C25, C36, C39, C41, C46</t>
        </is>
      </c>
      <c r="G22" s="30" t="inlineStr">
        <is>
          <t>C5, C11, C13, C14, C23, C24, C26, C35, C37, C38, C42, C45, C47, C50</t>
        </is>
      </c>
      <c r="H22" s="30" t="inlineStr">
        <is>
          <t>دریافت از 27 گره همسایه (شعاع ۳ گام)</t>
        </is>
      </c>
      <c r="I22" s="29" t="inlineStr">
        <is>
          <t>عضو عادی (Non-Initiator)</t>
        </is>
      </c>
      <c r="J22" s="29" t="inlineStr">
        <is>
          <t>زون C16</t>
        </is>
      </c>
      <c r="K22" s="29" t="inlineStr">
        <is>
          <t>1 گام</t>
        </is>
      </c>
      <c r="L22" s="30" t="inlineStr">
        <is>
          <t>✈️ هواپیما (Airplane)</t>
        </is>
      </c>
    </row>
    <row r="23" ht="24" customHeight="1">
      <c r="A23" s="27" t="inlineStr">
        <is>
          <t>C21</t>
        </is>
      </c>
      <c r="B23" s="27" t="n">
        <v>5038</v>
      </c>
      <c r="C23" s="28" t="inlineStr">
        <is>
          <t>((100+21)*5038+1337)%10000</t>
        </is>
      </c>
      <c r="D23" s="27" t="n">
        <v>0.0935</v>
      </c>
      <c r="E23" s="28" t="inlineStr">
        <is>
          <t>C20, C22, C25, C46</t>
        </is>
      </c>
      <c r="F23" s="28" t="inlineStr">
        <is>
          <t>C5, C16, C18, C19, C23, C24, C26, C40, C45, C47, C50</t>
        </is>
      </c>
      <c r="G23" s="28" t="inlineStr">
        <is>
          <t>C1, C4, C6, C15, C17, C27, C30, C36, C39, C41, C43, C44, C48, C49</t>
        </is>
      </c>
      <c r="H23" s="28" t="inlineStr">
        <is>
          <t>دریافت از 29 گره همسایه (شعاع ۳ گام)</t>
        </is>
      </c>
      <c r="I23" s="27" t="inlineStr">
        <is>
          <t>آغازگر (Initiator)</t>
        </is>
      </c>
      <c r="J23" s="27" t="inlineStr">
        <is>
          <t>زون C21</t>
        </is>
      </c>
      <c r="K23" s="27" t="inlineStr">
        <is>
          <t>۰ (خود آغازگر)</t>
        </is>
      </c>
      <c r="L23" s="28" t="inlineStr">
        <is>
          <t>🚢 کشتی (Ship)</t>
        </is>
      </c>
    </row>
    <row r="24" ht="24" customHeight="1">
      <c r="A24" s="29" t="inlineStr">
        <is>
          <t>C22</t>
        </is>
      </c>
      <c r="B24" s="29" t="n">
        <v>2335</v>
      </c>
      <c r="C24" s="30" t="inlineStr">
        <is>
          <t>((100+22)*2335+1337)%10000</t>
        </is>
      </c>
      <c r="D24" s="29" t="n">
        <v>0.6207</v>
      </c>
      <c r="E24" s="30" t="inlineStr">
        <is>
          <t>C18, C21, C23, C24</t>
        </is>
      </c>
      <c r="F24" s="30" t="inlineStr">
        <is>
          <t>C17, C19, C20, C25, C27, C46</t>
        </is>
      </c>
      <c r="G24" s="30" t="inlineStr">
        <is>
          <t>C5, C13, C16, C26, C28, C29, C40, C45, C47, C50</t>
        </is>
      </c>
      <c r="H24" s="30" t="inlineStr">
        <is>
          <t>دریافت از 20 گره همسایه (شعاع ۳ گام)</t>
        </is>
      </c>
      <c r="I24" s="29" t="inlineStr">
        <is>
          <t>عضو عادی (Non-Initiator)</t>
        </is>
      </c>
      <c r="J24" s="29" t="inlineStr">
        <is>
          <t>زون C21</t>
        </is>
      </c>
      <c r="K24" s="29" t="inlineStr">
        <is>
          <t>1 گام</t>
        </is>
      </c>
      <c r="L24" s="30" t="inlineStr">
        <is>
          <t>🐱 گربه (Cat)</t>
        </is>
      </c>
    </row>
    <row r="25" ht="24" customHeight="1">
      <c r="A25" s="31" t="inlineStr">
        <is>
          <t>C23</t>
        </is>
      </c>
      <c r="B25" s="31" t="n">
        <v>1504</v>
      </c>
      <c r="C25" s="32" t="inlineStr">
        <is>
          <t>((100+23)*1504+1337)%10000</t>
        </is>
      </c>
      <c r="D25" s="31" t="n">
        <v>0.6329</v>
      </c>
      <c r="E25" s="32" t="inlineStr">
        <is>
          <t>C22, C24, C27</t>
        </is>
      </c>
      <c r="F25" s="32" t="inlineStr">
        <is>
          <t>C18, C21, C25, C26, C28, C29</t>
        </is>
      </c>
      <c r="G25" s="32" t="inlineStr">
        <is>
          <t>C1, C5, C17, C19, C20, C30, C32, C45, C46</t>
        </is>
      </c>
      <c r="H25" s="32" t="inlineStr">
        <is>
          <t>دریافت از 18 گره همسایه (شعاع ۳ گام)</t>
        </is>
      </c>
      <c r="I25" s="31" t="inlineStr">
        <is>
          <t>عضو عادی (Non-Initiator)</t>
        </is>
      </c>
      <c r="J25" s="31" t="inlineStr">
        <is>
          <t>زون C21</t>
        </is>
      </c>
      <c r="K25" s="31" t="inlineStr">
        <is>
          <t>2 گام</t>
        </is>
      </c>
      <c r="L25" s="32" t="inlineStr">
        <is>
          <t>🐸 قورباغه (Frog)</t>
        </is>
      </c>
    </row>
    <row r="26" ht="24" customHeight="1">
      <c r="A26" s="29" t="inlineStr">
        <is>
          <t>C24</t>
        </is>
      </c>
      <c r="B26" s="29" t="n">
        <v>1009</v>
      </c>
      <c r="C26" s="30" t="inlineStr">
        <is>
          <t>((100+24)*1009+1337)%10000</t>
        </is>
      </c>
      <c r="D26" s="29" t="n">
        <v>0.6453</v>
      </c>
      <c r="E26" s="30" t="inlineStr">
        <is>
          <t>C22, C23, C25</t>
        </is>
      </c>
      <c r="F26" s="30" t="inlineStr">
        <is>
          <t>C5, C18, C21, C26, C27, C45</t>
        </is>
      </c>
      <c r="G26" s="30" t="inlineStr">
        <is>
          <t>C1, C4, C6, C17, C19, C20, C28, C29, C30, C41, C44, C46</t>
        </is>
      </c>
      <c r="H26" s="30" t="inlineStr">
        <is>
          <t>دریافت از 21 گره همسایه (شعاع ۳ گام)</t>
        </is>
      </c>
      <c r="I26" s="29" t="inlineStr">
        <is>
          <t>عضو عادی (Non-Initiator)</t>
        </is>
      </c>
      <c r="J26" s="29" t="inlineStr">
        <is>
          <t>زون C21</t>
        </is>
      </c>
      <c r="K26" s="29" t="inlineStr">
        <is>
          <t>2 گام</t>
        </is>
      </c>
      <c r="L26" s="30" t="inlineStr">
        <is>
          <t>🚚 کامیون (Truck)</t>
        </is>
      </c>
    </row>
    <row r="27" ht="24" customHeight="1">
      <c r="A27" s="31" t="inlineStr">
        <is>
          <t>C25</t>
        </is>
      </c>
      <c r="B27" s="31" t="n">
        <v>42</v>
      </c>
      <c r="C27" s="32" t="inlineStr">
        <is>
          <t>((100+25)*42+1337)%10000</t>
        </is>
      </c>
      <c r="D27" s="31" t="n">
        <v>0.6587</v>
      </c>
      <c r="E27" s="32" t="inlineStr">
        <is>
          <t>C5, C21, C24, C26, C45</t>
        </is>
      </c>
      <c r="F27" s="32" t="inlineStr">
        <is>
          <t>C1, C4, C6, C20, C22, C23, C27, C30, C41, C44, C46</t>
        </is>
      </c>
      <c r="G27" s="32" t="inlineStr">
        <is>
          <t>C2, C3, C7, C10, C16, C18, C19, C28, C29, C31, C40, C42, C43, C47, C50</t>
        </is>
      </c>
      <c r="H27" s="32" t="inlineStr">
        <is>
          <t>دریافت از 31 گره همسایه (شعاع ۳ گام)</t>
        </is>
      </c>
      <c r="I27" s="31" t="inlineStr">
        <is>
          <t>عضو عادی (Non-Initiator)</t>
        </is>
      </c>
      <c r="J27" s="31" t="inlineStr">
        <is>
          <t>زون C21</t>
        </is>
      </c>
      <c r="K27" s="31" t="inlineStr">
        <is>
          <t>1 گام</t>
        </is>
      </c>
      <c r="L27" s="32" t="inlineStr">
        <is>
          <t>🚢 کشتی (Ship)</t>
        </is>
      </c>
    </row>
    <row r="28" ht="24" customHeight="1">
      <c r="A28" s="27" t="inlineStr">
        <is>
          <t>C26</t>
        </is>
      </c>
      <c r="B28" s="27" t="n">
        <v>3649</v>
      </c>
      <c r="C28" s="28" t="inlineStr">
        <is>
          <t>((100+26)*3649+1337)%10000</t>
        </is>
      </c>
      <c r="D28" s="27" t="n">
        <v>0.1111</v>
      </c>
      <c r="E28" s="28" t="inlineStr">
        <is>
          <t>C1, C25, C27, C30</t>
        </is>
      </c>
      <c r="F28" s="28" t="inlineStr">
        <is>
          <t>C2, C5, C10, C21, C23, C24, C28, C29, C31, C45, C50</t>
        </is>
      </c>
      <c r="G28" s="28" t="inlineStr">
        <is>
          <t>C3, C4, C6, C9, C11, C20, C22, C32, C35, C41, C44, C46, C48, C49</t>
        </is>
      </c>
      <c r="H28" s="28" t="inlineStr">
        <is>
          <t>دریافت از 29 گره همسایه (شعاع ۳ گام)</t>
        </is>
      </c>
      <c r="I28" s="27" t="inlineStr">
        <is>
          <t>آغازگر (Initiator)</t>
        </is>
      </c>
      <c r="J28" s="27" t="inlineStr">
        <is>
          <t>زون C26</t>
        </is>
      </c>
      <c r="K28" s="27" t="inlineStr">
        <is>
          <t>۰ (خود آغازگر)</t>
        </is>
      </c>
      <c r="L28" s="28" t="inlineStr">
        <is>
          <t>🐸 قورباغه (Frog)</t>
        </is>
      </c>
    </row>
    <row r="29" ht="24" customHeight="1">
      <c r="A29" s="31" t="inlineStr">
        <is>
          <t>C27</t>
        </is>
      </c>
      <c r="B29" s="31" t="n">
        <v>9492</v>
      </c>
      <c r="C29" s="32" t="inlineStr">
        <is>
          <t>((100+27)*9492+1337)%10000</t>
        </is>
      </c>
      <c r="D29" s="31" t="n">
        <v>0.6821</v>
      </c>
      <c r="E29" s="32" t="inlineStr">
        <is>
          <t>C23, C26, C28, C29</t>
        </is>
      </c>
      <c r="F29" s="32" t="inlineStr">
        <is>
          <t>C1, C22, C24, C25, C30, C32</t>
        </is>
      </c>
      <c r="G29" s="32" t="inlineStr">
        <is>
          <t>C2, C5, C10, C18, C21, C31, C33, C34, C45, C50</t>
        </is>
      </c>
      <c r="H29" s="32" t="inlineStr">
        <is>
          <t>دریافت از 20 گره همسایه (شعاع ۳ گام)</t>
        </is>
      </c>
      <c r="I29" s="31" t="inlineStr">
        <is>
          <t>عضو عادی (Non-Initiator)</t>
        </is>
      </c>
      <c r="J29" s="31" t="inlineStr">
        <is>
          <t>زون C26</t>
        </is>
      </c>
      <c r="K29" s="31" t="inlineStr">
        <is>
          <t>1 گام</t>
        </is>
      </c>
      <c r="L29" s="32" t="inlineStr">
        <is>
          <t>🐶 سگ (Dog)</t>
        </is>
      </c>
    </row>
    <row r="30" ht="24" customHeight="1">
      <c r="A30" s="29" t="inlineStr">
        <is>
          <t>C28</t>
        </is>
      </c>
      <c r="B30" s="29" t="n">
        <v>122</v>
      </c>
      <c r="C30" s="30" t="inlineStr">
        <is>
          <t>((100+28)*122+1337)%10000</t>
        </is>
      </c>
      <c r="D30" s="29" t="n">
        <v>0.6953</v>
      </c>
      <c r="E30" s="30" t="inlineStr">
        <is>
          <t>C27, C29, C32</t>
        </is>
      </c>
      <c r="F30" s="30" t="inlineStr">
        <is>
          <t>C23, C26, C30, C31, C33, C34</t>
        </is>
      </c>
      <c r="G30" s="30" t="inlineStr">
        <is>
          <t>C1, C10, C22, C24, C25, C35, C37</t>
        </is>
      </c>
      <c r="H30" s="30" t="inlineStr">
        <is>
          <t>دریافت از 16 گره همسایه (شعاع ۳ گام)</t>
        </is>
      </c>
      <c r="I30" s="29" t="inlineStr">
        <is>
          <t>عضو عادی (Non-Initiator)</t>
        </is>
      </c>
      <c r="J30" s="29" t="inlineStr">
        <is>
          <t>زون C26</t>
        </is>
      </c>
      <c r="K30" s="29" t="inlineStr">
        <is>
          <t>2 گام</t>
        </is>
      </c>
      <c r="L30" s="30" t="inlineStr">
        <is>
          <t>🦌 آهو (Deer)</t>
        </is>
      </c>
    </row>
    <row r="31" ht="24" customHeight="1">
      <c r="A31" s="31" t="inlineStr">
        <is>
          <t>C29</t>
        </is>
      </c>
      <c r="B31" s="31" t="n">
        <v>2370</v>
      </c>
      <c r="C31" s="32" t="inlineStr">
        <is>
          <t>((100+29)*2370+1337)%10000</t>
        </is>
      </c>
      <c r="D31" s="31" t="n">
        <v>0.7067</v>
      </c>
      <c r="E31" s="32" t="inlineStr">
        <is>
          <t>C27, C28, C30</t>
        </is>
      </c>
      <c r="F31" s="32" t="inlineStr">
        <is>
          <t>C10, C23, C26, C31, C32</t>
        </is>
      </c>
      <c r="G31" s="32" t="inlineStr">
        <is>
          <t>C1, C6, C9, C11, C22, C24, C25, C33, C34, C35</t>
        </is>
      </c>
      <c r="H31" s="32" t="inlineStr">
        <is>
          <t>دریافت از 18 گره همسایه (شعاع ۳ گام)</t>
        </is>
      </c>
      <c r="I31" s="31" t="inlineStr">
        <is>
          <t>عضو عادی (Non-Initiator)</t>
        </is>
      </c>
      <c r="J31" s="31" t="inlineStr">
        <is>
          <t>زون C26</t>
        </is>
      </c>
      <c r="K31" s="31" t="inlineStr">
        <is>
          <t>2 گام</t>
        </is>
      </c>
      <c r="L31" s="32" t="inlineStr">
        <is>
          <t>🦌 آهو (Deer)</t>
        </is>
      </c>
    </row>
    <row r="32" ht="24" customHeight="1">
      <c r="A32" s="29" t="inlineStr">
        <is>
          <t>C30</t>
        </is>
      </c>
      <c r="B32" s="29" t="n">
        <v>122</v>
      </c>
      <c r="C32" s="30" t="inlineStr">
        <is>
          <t>((100+30)*122+1337)%10000</t>
        </is>
      </c>
      <c r="D32" s="29" t="n">
        <v>0.7197</v>
      </c>
      <c r="E32" s="30" t="inlineStr">
        <is>
          <t>C10, C26, C29, C31</t>
        </is>
      </c>
      <c r="F32" s="30" t="inlineStr">
        <is>
          <t>C1, C6, C9, C11, C25, C27, C28, C32, C35</t>
        </is>
      </c>
      <c r="G32" s="30" t="inlineStr">
        <is>
          <t>C2, C5, C7, C8, C12, C15, C21, C23, C24, C33, C34, C36, C45, C50</t>
        </is>
      </c>
      <c r="H32" s="30" t="inlineStr">
        <is>
          <t>دریافت از 27 گره همسایه (شعاع ۳ گام)</t>
        </is>
      </c>
      <c r="I32" s="29" t="inlineStr">
        <is>
          <t>عضو عادی (Non-Initiator)</t>
        </is>
      </c>
      <c r="J32" s="29" t="inlineStr">
        <is>
          <t>زون C26</t>
        </is>
      </c>
      <c r="K32" s="29" t="inlineStr">
        <is>
          <t>1 گام</t>
        </is>
      </c>
      <c r="L32" s="30" t="inlineStr">
        <is>
          <t>🚢 کشتی (Ship)</t>
        </is>
      </c>
    </row>
    <row r="33" ht="24" customHeight="1">
      <c r="A33" s="27" t="inlineStr">
        <is>
          <t>C31</t>
        </is>
      </c>
      <c r="B33" s="27" t="n">
        <v>1908</v>
      </c>
      <c r="C33" s="28" t="inlineStr">
        <is>
          <t>((100+31)*1908+1337)%10000</t>
        </is>
      </c>
      <c r="D33" s="27" t="n">
        <v>0.1285</v>
      </c>
      <c r="E33" s="28" t="inlineStr">
        <is>
          <t>C30, C32, C35</t>
        </is>
      </c>
      <c r="F33" s="28" t="inlineStr">
        <is>
          <t>C10, C15, C26, C28, C29, C33, C34, C36</t>
        </is>
      </c>
      <c r="G33" s="28" t="inlineStr">
        <is>
          <t>C1, C6, C9, C11, C14, C16, C25, C27, C37, C40</t>
        </is>
      </c>
      <c r="H33" s="28" t="inlineStr">
        <is>
          <t>دریافت از 21 گره همسایه (شعاع ۳ گام)</t>
        </is>
      </c>
      <c r="I33" s="27" t="inlineStr">
        <is>
          <t>آغازگر (Initiator)</t>
        </is>
      </c>
      <c r="J33" s="27" t="inlineStr">
        <is>
          <t>زون C31</t>
        </is>
      </c>
      <c r="K33" s="27" t="inlineStr">
        <is>
          <t>۰ (خود آغازگر)</t>
        </is>
      </c>
      <c r="L33" s="28" t="inlineStr">
        <is>
          <t>🚚 کامیون (Truck)</t>
        </is>
      </c>
    </row>
    <row r="34" ht="24" customHeight="1">
      <c r="A34" s="29" t="inlineStr">
        <is>
          <t>C32</t>
        </is>
      </c>
      <c r="B34" s="29" t="n">
        <v>425</v>
      </c>
      <c r="C34" s="30" t="inlineStr">
        <is>
          <t>((100+32)*425+1337)%10000</t>
        </is>
      </c>
      <c r="D34" s="29" t="n">
        <v>0.7437</v>
      </c>
      <c r="E34" s="30" t="inlineStr">
        <is>
          <t>C28, C31, C33, C34</t>
        </is>
      </c>
      <c r="F34" s="30" t="inlineStr">
        <is>
          <t>C27, C29, C30, C35, C37</t>
        </is>
      </c>
      <c r="G34" s="30" t="inlineStr">
        <is>
          <t>C10, C15, C23, C26, C36, C38, C39</t>
        </is>
      </c>
      <c r="H34" s="30" t="inlineStr">
        <is>
          <t>دریافت از 16 گره همسایه (شعاع ۳ گام)</t>
        </is>
      </c>
      <c r="I34" s="29" t="inlineStr">
        <is>
          <t>عضو عادی (Non-Initiator)</t>
        </is>
      </c>
      <c r="J34" s="29" t="inlineStr">
        <is>
          <t>زون C31</t>
        </is>
      </c>
      <c r="K34" s="29" t="inlineStr">
        <is>
          <t>1 گام</t>
        </is>
      </c>
      <c r="L34" s="30" t="inlineStr">
        <is>
          <t>🐎 اسب (Horse)</t>
        </is>
      </c>
    </row>
    <row r="35" ht="24" customHeight="1">
      <c r="A35" s="31" t="inlineStr">
        <is>
          <t>C33</t>
        </is>
      </c>
      <c r="B35" s="31" t="n">
        <v>4934</v>
      </c>
      <c r="C35" s="32" t="inlineStr">
        <is>
          <t>((100+33)*4934+1337)%10000</t>
        </is>
      </c>
      <c r="D35" s="31" t="n">
        <v>0.7559</v>
      </c>
      <c r="E35" s="32" t="inlineStr">
        <is>
          <t>C32, C34, C37</t>
        </is>
      </c>
      <c r="F35" s="32" t="inlineStr">
        <is>
          <t>C28, C31, C35, C36, C38, C39</t>
        </is>
      </c>
      <c r="G35" s="32" t="inlineStr">
        <is>
          <t>C11, C15, C27, C29, C30, C40, C42</t>
        </is>
      </c>
      <c r="H35" s="32" t="inlineStr">
        <is>
          <t>دریافت از 16 گره همسایه (شعاع ۳ گام)</t>
        </is>
      </c>
      <c r="I35" s="31" t="inlineStr">
        <is>
          <t>عضو عادی (Non-Initiator)</t>
        </is>
      </c>
      <c r="J35" s="31" t="inlineStr">
        <is>
          <t>زون C31</t>
        </is>
      </c>
      <c r="K35" s="31" t="inlineStr">
        <is>
          <t>2 گام</t>
        </is>
      </c>
      <c r="L35" s="32" t="inlineStr">
        <is>
          <t>🐸 قورباغه (Frog)</t>
        </is>
      </c>
    </row>
    <row r="36" ht="24" customHeight="1">
      <c r="A36" s="29" t="inlineStr">
        <is>
          <t>C34</t>
        </is>
      </c>
      <c r="B36" s="29" t="n">
        <v>719</v>
      </c>
      <c r="C36" s="30" t="inlineStr">
        <is>
          <t>((100+34)*719+1337)%10000</t>
        </is>
      </c>
      <c r="D36" s="29" t="n">
        <v>0.7683</v>
      </c>
      <c r="E36" s="30" t="inlineStr">
        <is>
          <t>C32, C33, C35</t>
        </is>
      </c>
      <c r="F36" s="30" t="inlineStr">
        <is>
          <t>C15, C28, C31, C36, C37</t>
        </is>
      </c>
      <c r="G36" s="30" t="inlineStr">
        <is>
          <t>C11, C14, C16, C27, C29, C30, C38, C39, C40</t>
        </is>
      </c>
      <c r="H36" s="30" t="inlineStr">
        <is>
          <t>دریافت از 17 گره همسایه (شعاع ۳ گام)</t>
        </is>
      </c>
      <c r="I36" s="29" t="inlineStr">
        <is>
          <t>عضو عادی (Non-Initiator)</t>
        </is>
      </c>
      <c r="J36" s="29" t="inlineStr">
        <is>
          <t>زون C31</t>
        </is>
      </c>
      <c r="K36" s="29" t="inlineStr">
        <is>
          <t>2 گام</t>
        </is>
      </c>
      <c r="L36" s="30" t="inlineStr">
        <is>
          <t>🚢 کشتی (Ship)</t>
        </is>
      </c>
    </row>
    <row r="37" ht="24" customHeight="1">
      <c r="A37" s="31" t="inlineStr">
        <is>
          <t>C35</t>
        </is>
      </c>
      <c r="B37" s="31" t="n">
        <v>122</v>
      </c>
      <c r="C37" s="32" t="inlineStr">
        <is>
          <t>((100+35)*122+1337)%10000</t>
        </is>
      </c>
      <c r="D37" s="31" t="n">
        <v>0.7806999999999999</v>
      </c>
      <c r="E37" s="32" t="inlineStr">
        <is>
          <t>C15, C31, C34, C36</t>
        </is>
      </c>
      <c r="F37" s="32" t="inlineStr">
        <is>
          <t>C11, C14, C16, C30, C32, C33, C37, C40</t>
        </is>
      </c>
      <c r="G37" s="32" t="inlineStr">
        <is>
          <t>C10, C12, C13, C17, C20, C26, C28, C29, C38, C39, C41</t>
        </is>
      </c>
      <c r="H37" s="32" t="inlineStr">
        <is>
          <t>دریافت از 23 گره همسایه (شعاع ۳ گام)</t>
        </is>
      </c>
      <c r="I37" s="31" t="inlineStr">
        <is>
          <t>عضو عادی (Non-Initiator)</t>
        </is>
      </c>
      <c r="J37" s="31" t="inlineStr">
        <is>
          <t>زون C31</t>
        </is>
      </c>
      <c r="K37" s="31" t="inlineStr">
        <is>
          <t>1 گام</t>
        </is>
      </c>
      <c r="L37" s="32" t="inlineStr">
        <is>
          <t>🐦 پرنده (Bird)</t>
        </is>
      </c>
    </row>
    <row r="38" ht="24" customHeight="1">
      <c r="A38" s="27" t="inlineStr">
        <is>
          <t>C36</t>
        </is>
      </c>
      <c r="B38" s="27" t="n">
        <v>148</v>
      </c>
      <c r="C38" s="28" t="inlineStr">
        <is>
          <t>((100+36)*148+1337)%10000</t>
        </is>
      </c>
      <c r="D38" s="27" t="n">
        <v>0.1465</v>
      </c>
      <c r="E38" s="28" t="inlineStr">
        <is>
          <t>C11, C35, C37, C40</t>
        </is>
      </c>
      <c r="F38" s="28" t="inlineStr">
        <is>
          <t>C10, C12, C15, C20, C31, C33, C34, C38, C39, C41</t>
        </is>
      </c>
      <c r="G38" s="28" t="inlineStr">
        <is>
          <t>C6, C8, C9, C13, C14, C16, C19, C21, C30, C32, C42, C45</t>
        </is>
      </c>
      <c r="H38" s="28" t="inlineStr">
        <is>
          <t>دریافت از 26 گره همسایه (شعاع ۳ گام)</t>
        </is>
      </c>
      <c r="I38" s="27" t="inlineStr">
        <is>
          <t>آغازگر (Initiator)</t>
        </is>
      </c>
      <c r="J38" s="27" t="inlineStr">
        <is>
          <t>زون C36</t>
        </is>
      </c>
      <c r="K38" s="27" t="inlineStr">
        <is>
          <t>۰ (خود آغازگر)</t>
        </is>
      </c>
      <c r="L38" s="28" t="inlineStr">
        <is>
          <t>🚚 کامیون (Truck)</t>
        </is>
      </c>
    </row>
    <row r="39" ht="24" customHeight="1">
      <c r="A39" s="31" t="inlineStr">
        <is>
          <t>C37</t>
        </is>
      </c>
      <c r="B39" s="31" t="n">
        <v>122</v>
      </c>
      <c r="C39" s="32" t="inlineStr">
        <is>
          <t>((100+37)*122+1337)%10000</t>
        </is>
      </c>
      <c r="D39" s="31" t="n">
        <v>0.8051</v>
      </c>
      <c r="E39" s="32" t="inlineStr">
        <is>
          <t>C33, C36, C38, C39</t>
        </is>
      </c>
      <c r="F39" s="32" t="inlineStr">
        <is>
          <t>C11, C32, C34, C35, C40, C42</t>
        </is>
      </c>
      <c r="G39" s="32" t="inlineStr">
        <is>
          <t>C10, C12, C15, C20, C28, C31, C41, C43, C44</t>
        </is>
      </c>
      <c r="H39" s="32" t="inlineStr">
        <is>
          <t>دریافت از 19 گره همسایه (شعاع ۳ گام)</t>
        </is>
      </c>
      <c r="I39" s="31" t="inlineStr">
        <is>
          <t>عضو عادی (Non-Initiator)</t>
        </is>
      </c>
      <c r="J39" s="31" t="inlineStr">
        <is>
          <t>زون C36</t>
        </is>
      </c>
      <c r="K39" s="31" t="inlineStr">
        <is>
          <t>1 گام</t>
        </is>
      </c>
      <c r="L39" s="32" t="inlineStr">
        <is>
          <t>🚚 کامیون (Truck)</t>
        </is>
      </c>
    </row>
    <row r="40" ht="24" customHeight="1">
      <c r="A40" s="29" t="inlineStr">
        <is>
          <t>C38</t>
        </is>
      </c>
      <c r="B40" s="29" t="n">
        <v>2151</v>
      </c>
      <c r="C40" s="30" t="inlineStr">
        <is>
          <t>((100+38)*2151+1337)%10000</t>
        </is>
      </c>
      <c r="D40" s="29" t="n">
        <v>0.8175</v>
      </c>
      <c r="E40" s="30" t="inlineStr">
        <is>
          <t>C37, C39, C42</t>
        </is>
      </c>
      <c r="F40" s="30" t="inlineStr">
        <is>
          <t>C33, C36, C40, C41, C43, C44</t>
        </is>
      </c>
      <c r="G40" s="30" t="inlineStr">
        <is>
          <t>C11, C20, C32, C34, C35, C45, C47</t>
        </is>
      </c>
      <c r="H40" s="30" t="inlineStr">
        <is>
          <t>دریافت از 16 گره همسایه (شعاع ۳ گام)</t>
        </is>
      </c>
      <c r="I40" s="29" t="inlineStr">
        <is>
          <t>عضو عادی (Non-Initiator)</t>
        </is>
      </c>
      <c r="J40" s="29" t="inlineStr">
        <is>
          <t>زون C36</t>
        </is>
      </c>
      <c r="K40" s="29" t="inlineStr">
        <is>
          <t>2 گام</t>
        </is>
      </c>
      <c r="L40" s="30" t="inlineStr">
        <is>
          <t>✈️ هواپیما (Airplane)</t>
        </is>
      </c>
    </row>
    <row r="41" ht="24" customHeight="1">
      <c r="A41" s="31" t="inlineStr">
        <is>
          <t>C39</t>
        </is>
      </c>
      <c r="B41" s="31" t="n">
        <v>2640</v>
      </c>
      <c r="C41" s="32" t="inlineStr">
        <is>
          <t>((100+39)*2640+1337)%10000</t>
        </is>
      </c>
      <c r="D41" s="31" t="n">
        <v>0.8297</v>
      </c>
      <c r="E41" s="32" t="inlineStr">
        <is>
          <t>C37, C38, C40</t>
        </is>
      </c>
      <c r="F41" s="32" t="inlineStr">
        <is>
          <t>C20, C33, C36, C41, C42</t>
        </is>
      </c>
      <c r="G41" s="32" t="inlineStr">
        <is>
          <t>C11, C16, C19, C21, C32, C34, C35, C43, C44, C45</t>
        </is>
      </c>
      <c r="H41" s="32" t="inlineStr">
        <is>
          <t>دریافت از 18 گره همسایه (شعاع ۳ گام)</t>
        </is>
      </c>
      <c r="I41" s="31" t="inlineStr">
        <is>
          <t>عضو عادی (Non-Initiator)</t>
        </is>
      </c>
      <c r="J41" s="31" t="inlineStr">
        <is>
          <t>زون C36</t>
        </is>
      </c>
      <c r="K41" s="31" t="inlineStr">
        <is>
          <t>2 گام</t>
        </is>
      </c>
      <c r="L41" s="32" t="inlineStr">
        <is>
          <t>🐶 سگ (Dog)</t>
        </is>
      </c>
    </row>
    <row r="42" ht="24" customHeight="1">
      <c r="A42" s="29" t="inlineStr">
        <is>
          <t>C40</t>
        </is>
      </c>
      <c r="B42" s="29" t="n">
        <v>265</v>
      </c>
      <c r="C42" s="30" t="inlineStr">
        <is>
          <t>((100+40)*265+1337)%10000</t>
        </is>
      </c>
      <c r="D42" s="29" t="n">
        <v>0.8437</v>
      </c>
      <c r="E42" s="30" t="inlineStr">
        <is>
          <t>C20, C36, C39, C41</t>
        </is>
      </c>
      <c r="F42" s="30" t="inlineStr">
        <is>
          <t>C11, C16, C19, C21, C35, C37, C38, C42, C45</t>
        </is>
      </c>
      <c r="G42" s="30" t="inlineStr">
        <is>
          <t>C10, C12, C15, C17, C18, C22, C25, C31, C33, C34, C43, C44, C46</t>
        </is>
      </c>
      <c r="H42" s="30" t="inlineStr">
        <is>
          <t>دریافت از 26 گره همسایه (شعاع ۳ گام)</t>
        </is>
      </c>
      <c r="I42" s="29" t="inlineStr">
        <is>
          <t>عضو عادی (Non-Initiator)</t>
        </is>
      </c>
      <c r="J42" s="29" t="inlineStr">
        <is>
          <t>زون C36</t>
        </is>
      </c>
      <c r="K42" s="29" t="inlineStr">
        <is>
          <t>1 گام</t>
        </is>
      </c>
      <c r="L42" s="30" t="inlineStr">
        <is>
          <t>🐎 اسب (Horse)</t>
        </is>
      </c>
    </row>
    <row r="43" ht="24" customHeight="1">
      <c r="A43" s="27" t="inlineStr">
        <is>
          <t>C41</t>
        </is>
      </c>
      <c r="B43" s="27" t="n">
        <v>7378</v>
      </c>
      <c r="C43" s="28" t="inlineStr">
        <is>
          <t>((100+41)*7378+1337)%10000</t>
        </is>
      </c>
      <c r="D43" s="27" t="n">
        <v>0.1635</v>
      </c>
      <c r="E43" s="28" t="inlineStr">
        <is>
          <t>C40, C42, C45</t>
        </is>
      </c>
      <c r="F43" s="28" t="inlineStr">
        <is>
          <t>C20, C25, C36, C38, C39, C43, C44, C46</t>
        </is>
      </c>
      <c r="G43" s="28" t="inlineStr">
        <is>
          <t>C5, C11, C16, C19, C21, C24, C26, C35, C37, C47, C50</t>
        </is>
      </c>
      <c r="H43" s="28" t="inlineStr">
        <is>
          <t>دریافت از 22 گره همسایه (شعاع ۳ گام)</t>
        </is>
      </c>
      <c r="I43" s="27" t="inlineStr">
        <is>
          <t>آغازگر (Initiator)</t>
        </is>
      </c>
      <c r="J43" s="27" t="inlineStr">
        <is>
          <t>زون C41</t>
        </is>
      </c>
      <c r="K43" s="27" t="inlineStr">
        <is>
          <t>۰ (خود آغازگر)</t>
        </is>
      </c>
      <c r="L43" s="28" t="inlineStr">
        <is>
          <t>🚗 اتومبیل (Automobile)</t>
        </is>
      </c>
    </row>
    <row r="44" ht="24" customHeight="1">
      <c r="A44" s="29" t="inlineStr">
        <is>
          <t>C42</t>
        </is>
      </c>
      <c r="B44" s="29" t="n">
        <v>615</v>
      </c>
      <c r="C44" s="30" t="inlineStr">
        <is>
          <t>((100+42)*615+1337)%10000</t>
        </is>
      </c>
      <c r="D44" s="29" t="n">
        <v>0.8667</v>
      </c>
      <c r="E44" s="30" t="inlineStr">
        <is>
          <t>C38, C41, C43, C44</t>
        </is>
      </c>
      <c r="F44" s="30" t="inlineStr">
        <is>
          <t>C37, C39, C40, C45, C47</t>
        </is>
      </c>
      <c r="G44" s="30" t="inlineStr">
        <is>
          <t>C20, C25, C33, C36, C46, C48, C49</t>
        </is>
      </c>
      <c r="H44" s="30" t="inlineStr">
        <is>
          <t>دریافت از 16 گره همسایه (شعاع ۳ گام)</t>
        </is>
      </c>
      <c r="I44" s="29" t="inlineStr">
        <is>
          <t>عضو عادی (Non-Initiator)</t>
        </is>
      </c>
      <c r="J44" s="29" t="inlineStr">
        <is>
          <t>زون C41</t>
        </is>
      </c>
      <c r="K44" s="29" t="inlineStr">
        <is>
          <t>1 گام</t>
        </is>
      </c>
      <c r="L44" s="30" t="inlineStr">
        <is>
          <t>🐸 قورباغه (Frog)</t>
        </is>
      </c>
    </row>
    <row r="45" ht="24" customHeight="1">
      <c r="A45" s="31" t="inlineStr">
        <is>
          <t>C43</t>
        </is>
      </c>
      <c r="B45" s="31" t="n">
        <v>8164</v>
      </c>
      <c r="C45" s="32" t="inlineStr">
        <is>
          <t>((100+43)*8164+1337)%10000</t>
        </is>
      </c>
      <c r="D45" s="31" t="n">
        <v>0.8789</v>
      </c>
      <c r="E45" s="32" t="inlineStr">
        <is>
          <t>C42, C44, C47</t>
        </is>
      </c>
      <c r="F45" s="32" t="inlineStr">
        <is>
          <t>C38, C41, C45, C46, C48, C49</t>
        </is>
      </c>
      <c r="G45" s="32" t="inlineStr">
        <is>
          <t>C2, C21, C25, C37, C39, C40, C50</t>
        </is>
      </c>
      <c r="H45" s="32" t="inlineStr">
        <is>
          <t>دریافت از 16 گره همسایه (شعاع ۳ گام)</t>
        </is>
      </c>
      <c r="I45" s="31" t="inlineStr">
        <is>
          <t>عضو عادی (Non-Initiator)</t>
        </is>
      </c>
      <c r="J45" s="31" t="inlineStr">
        <is>
          <t>زون C41</t>
        </is>
      </c>
      <c r="K45" s="31" t="inlineStr">
        <is>
          <t>2 گام</t>
        </is>
      </c>
      <c r="L45" s="32" t="inlineStr">
        <is>
          <t>🚗 اتومبیل (Automobile)</t>
        </is>
      </c>
    </row>
    <row r="46" ht="24" customHeight="1">
      <c r="A46" s="29" t="inlineStr">
        <is>
          <t>C44</t>
        </is>
      </c>
      <c r="B46" s="29" t="n">
        <v>261</v>
      </c>
      <c r="C46" s="30" t="inlineStr">
        <is>
          <t>((100+44)*261+1337)%10000</t>
        </is>
      </c>
      <c r="D46" s="29" t="n">
        <v>0.8921</v>
      </c>
      <c r="E46" s="30" t="inlineStr">
        <is>
          <t>C42, C43, C45</t>
        </is>
      </c>
      <c r="F46" s="30" t="inlineStr">
        <is>
          <t>C25, C38, C41, C46, C47</t>
        </is>
      </c>
      <c r="G46" s="30" t="inlineStr">
        <is>
          <t>C5, C21, C24, C26, C37, C39, C40, C48, C49, C50</t>
        </is>
      </c>
      <c r="H46" s="30" t="inlineStr">
        <is>
          <t>دریافت از 18 گره همسایه (شعاع ۳ گام)</t>
        </is>
      </c>
      <c r="I46" s="29" t="inlineStr">
        <is>
          <t>عضو عادی (Non-Initiator)</t>
        </is>
      </c>
      <c r="J46" s="29" t="inlineStr">
        <is>
          <t>زون C41</t>
        </is>
      </c>
      <c r="K46" s="29" t="inlineStr">
        <is>
          <t>2 گام</t>
        </is>
      </c>
      <c r="L46" s="30" t="inlineStr">
        <is>
          <t>🚗 اتومبیل (Automobile)</t>
        </is>
      </c>
    </row>
    <row r="47" ht="24" customHeight="1">
      <c r="A47" s="31" t="inlineStr">
        <is>
          <t>C45</t>
        </is>
      </c>
      <c r="B47" s="31" t="n">
        <v>360</v>
      </c>
      <c r="C47" s="32" t="inlineStr">
        <is>
          <t>((100+45)*360+1337)%10000</t>
        </is>
      </c>
      <c r="D47" s="31" t="n">
        <v>0.3537</v>
      </c>
      <c r="E47" s="32" t="inlineStr">
        <is>
          <t>C25, C41, C44, C46</t>
        </is>
      </c>
      <c r="F47" s="32" t="inlineStr">
        <is>
          <t>C5, C21, C24, C26, C40, C42, C43, C47, C50</t>
        </is>
      </c>
      <c r="G47" s="32" t="inlineStr">
        <is>
          <t>C1, C4, C6, C20, C22, C23, C27, C30, C36, C38, C39, C48, C49</t>
        </is>
      </c>
      <c r="H47" s="32" t="inlineStr">
        <is>
          <t>دریافت از 26 گره همسایه (شعاع ۳ گام)</t>
        </is>
      </c>
      <c r="I47" s="31" t="inlineStr">
        <is>
          <t>عضو عادی (Non-Initiator)</t>
        </is>
      </c>
      <c r="J47" s="31" t="inlineStr">
        <is>
          <t>زون C41</t>
        </is>
      </c>
      <c r="K47" s="31" t="inlineStr">
        <is>
          <t>1 گام</t>
        </is>
      </c>
      <c r="L47" s="32" t="inlineStr">
        <is>
          <t>🐦 پرنده (Bird)</t>
        </is>
      </c>
    </row>
    <row r="48" ht="24" customHeight="1">
      <c r="A48" s="27" t="inlineStr">
        <is>
          <t>C46</t>
        </is>
      </c>
      <c r="B48" s="27" t="n">
        <v>2469</v>
      </c>
      <c r="C48" s="28" t="inlineStr">
        <is>
          <t>((100+46)*2469+1337)%10000</t>
        </is>
      </c>
      <c r="D48" s="27" t="n">
        <v>0.1811</v>
      </c>
      <c r="E48" s="28" t="inlineStr">
        <is>
          <t>C21, C45, C47, C50</t>
        </is>
      </c>
      <c r="F48" s="28" t="inlineStr">
        <is>
          <t>C1, C20, C22, C25, C41, C43, C44, C48, C49</t>
        </is>
      </c>
      <c r="G48" s="28" t="inlineStr">
        <is>
          <t>C2, C5, C16, C18, C19, C23, C24, C26, C40, C42</t>
        </is>
      </c>
      <c r="H48" s="28" t="inlineStr">
        <is>
          <t>دریافت از 23 گره همسایه (شعاع ۳ گام)</t>
        </is>
      </c>
      <c r="I48" s="27" t="inlineStr">
        <is>
          <t>آغازگر (Initiator)</t>
        </is>
      </c>
      <c r="J48" s="27" t="inlineStr">
        <is>
          <t>زون C46</t>
        </is>
      </c>
      <c r="K48" s="27" t="inlineStr">
        <is>
          <t>۰ (خود آغازگر)</t>
        </is>
      </c>
      <c r="L48" s="28" t="inlineStr">
        <is>
          <t>🐱 گربه (Cat)</t>
        </is>
      </c>
    </row>
    <row r="49" ht="24" customHeight="1">
      <c r="A49" s="31" t="inlineStr">
        <is>
          <t>C47</t>
        </is>
      </c>
      <c r="B49" s="31" t="n">
        <v>8452</v>
      </c>
      <c r="C49" s="32" t="inlineStr">
        <is>
          <t>((100+47)*8452+1337)%10000</t>
        </is>
      </c>
      <c r="D49" s="31" t="n">
        <v>0.3781</v>
      </c>
      <c r="E49" s="32" t="inlineStr">
        <is>
          <t>C43, C46, C48, C49</t>
        </is>
      </c>
      <c r="F49" s="32" t="inlineStr">
        <is>
          <t>C2, C21, C42, C44, C45, C50</t>
        </is>
      </c>
      <c r="G49" s="32" t="inlineStr">
        <is>
          <t>C1, C3, C4, C20, C22, C25, C38, C41</t>
        </is>
      </c>
      <c r="H49" s="32" t="inlineStr">
        <is>
          <t>دریافت از 18 گره همسایه (شعاع ۳ گام)</t>
        </is>
      </c>
      <c r="I49" s="31" t="inlineStr">
        <is>
          <t>عضو عادی (Non-Initiator)</t>
        </is>
      </c>
      <c r="J49" s="31" t="inlineStr">
        <is>
          <t>زون C46</t>
        </is>
      </c>
      <c r="K49" s="31" t="inlineStr">
        <is>
          <t>1 گام</t>
        </is>
      </c>
      <c r="L49" s="32" t="inlineStr">
        <is>
          <t>🐱 گربه (Cat)</t>
        </is>
      </c>
    </row>
    <row r="50" ht="24" customHeight="1">
      <c r="A50" s="29" t="inlineStr">
        <is>
          <t>C48</t>
        </is>
      </c>
      <c r="B50" s="29" t="n">
        <v>1166</v>
      </c>
      <c r="C50" s="30" t="inlineStr">
        <is>
          <t>((100+48)*1166+1337)%10000</t>
        </is>
      </c>
      <c r="D50" s="29" t="n">
        <v>0.3905</v>
      </c>
      <c r="E50" s="30" t="inlineStr">
        <is>
          <t>C2, C47, C49</t>
        </is>
      </c>
      <c r="F50" s="30" t="inlineStr">
        <is>
          <t>C1, C3, C4, C43, C46, C50</t>
        </is>
      </c>
      <c r="G50" s="30" t="inlineStr">
        <is>
          <t>C5, C7, C21, C26, C42, C44, C45</t>
        </is>
      </c>
      <c r="H50" s="30" t="inlineStr">
        <is>
          <t>دریافت از 16 گره همسایه (شعاع ۳ گام)</t>
        </is>
      </c>
      <c r="I50" s="29" t="inlineStr">
        <is>
          <t>عضو عادی (Non-Initiator)</t>
        </is>
      </c>
      <c r="J50" s="29" t="inlineStr">
        <is>
          <t>زون C1</t>
        </is>
      </c>
      <c r="K50" s="29" t="inlineStr">
        <is>
          <t>2 گام</t>
        </is>
      </c>
      <c r="L50" s="30" t="inlineStr">
        <is>
          <t>✈️ هواپیما (Airplane)</t>
        </is>
      </c>
    </row>
    <row r="51" ht="24" customHeight="1">
      <c r="A51" s="31" t="inlineStr">
        <is>
          <t>C49</t>
        </is>
      </c>
      <c r="B51" s="31" t="n">
        <v>8810</v>
      </c>
      <c r="C51" s="32" t="inlineStr">
        <is>
          <t>((100+49)*8810+1337)%10000</t>
        </is>
      </c>
      <c r="D51" s="31" t="n">
        <v>0.4027</v>
      </c>
      <c r="E51" s="32" t="inlineStr">
        <is>
          <t>C47, C48, C50</t>
        </is>
      </c>
      <c r="F51" s="32" t="inlineStr">
        <is>
          <t>C1, C2, C43, C46</t>
        </is>
      </c>
      <c r="G51" s="32" t="inlineStr">
        <is>
          <t>C3, C4, C5, C21, C26, C42, C44, C45</t>
        </is>
      </c>
      <c r="H51" s="32" t="inlineStr">
        <is>
          <t>دریافت از 15 گره همسایه (شعاع ۳ گام)</t>
        </is>
      </c>
      <c r="I51" s="31" t="inlineStr">
        <is>
          <t>عضو عادی (Non-Initiator)</t>
        </is>
      </c>
      <c r="J51" s="31" t="inlineStr">
        <is>
          <t>زون C1</t>
        </is>
      </c>
      <c r="K51" s="31" t="inlineStr">
        <is>
          <t>2 گام</t>
        </is>
      </c>
      <c r="L51" s="32" t="inlineStr">
        <is>
          <t>🚗 اتومبیل (Automobile)</t>
        </is>
      </c>
    </row>
    <row r="52" ht="24" customHeight="1">
      <c r="A52" s="29" t="inlineStr">
        <is>
          <t>C50</t>
        </is>
      </c>
      <c r="B52" s="29" t="n">
        <v>19</v>
      </c>
      <c r="C52" s="30" t="inlineStr">
        <is>
          <t>((100+50)*19+1337)%10000</t>
        </is>
      </c>
      <c r="D52" s="29" t="n">
        <v>0.4187</v>
      </c>
      <c r="E52" s="30" t="inlineStr">
        <is>
          <t>C1, C46, C49</t>
        </is>
      </c>
      <c r="F52" s="30" t="inlineStr">
        <is>
          <t>C2, C5, C21, C26, C45, C47, C48</t>
        </is>
      </c>
      <c r="G52" s="30" t="inlineStr">
        <is>
          <t>C3, C4, C6, C20, C22, C25, C27, C30, C41, C43, C44</t>
        </is>
      </c>
      <c r="H52" s="30" t="inlineStr">
        <is>
          <t>دریافت از 21 گره همسایه (شعاع ۳ گام)</t>
        </is>
      </c>
      <c r="I52" s="29" t="inlineStr">
        <is>
          <t>عضو عادی (Non-Initiator)</t>
        </is>
      </c>
      <c r="J52" s="29" t="inlineStr">
        <is>
          <t>زون C1</t>
        </is>
      </c>
      <c r="K52" s="29" t="inlineStr">
        <is>
          <t>1 گام</t>
        </is>
      </c>
      <c r="L52" s="30" t="inlineStr">
        <is>
          <t>🚢 کشتی (Ship)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2026-09-09T07:29:12Z</dcterms:created>
  <dcterms:modified xmlns:dcterms="http://purl.org/dc/terms/" xmlns:xsi="http://www.w3.org/2001/XMLSchema-instance" xsi:type="dcterms:W3CDTF">2026-09-09T07:51:23Z</dcterms:modified>
</cp:coreProperties>
</file>